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4355" windowHeight="9795" activeTab="5"/>
  </bookViews>
  <sheets>
    <sheet name="Home" sheetId="1" r:id="rId1"/>
    <sheet name="Database" sheetId="2" r:id="rId2"/>
    <sheet name="Budget" sheetId="4" r:id="rId3"/>
    <sheet name="Expences" sheetId="5" r:id="rId4"/>
    <sheet name="Data" sheetId="6" r:id="rId5"/>
    <sheet name="Daily 1,5 ODDs" sheetId="7" r:id="rId6"/>
  </sheets>
  <calcPr calcId="144525"/>
</workbook>
</file>

<file path=xl/calcChain.xml><?xml version="1.0" encoding="utf-8"?>
<calcChain xmlns="http://schemas.openxmlformats.org/spreadsheetml/2006/main">
  <c r="F52" i="2" l="1"/>
  <c r="F38" i="7" l="1"/>
  <c r="H38" i="7" s="1"/>
  <c r="J4" i="7" l="1"/>
  <c r="D7" i="7" l="1"/>
  <c r="D8" i="7" s="1"/>
  <c r="D9" i="7" s="1"/>
  <c r="D10" i="7" s="1"/>
  <c r="D11" i="7" s="1"/>
  <c r="D12" i="7" s="1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6" i="7"/>
  <c r="D5" i="7"/>
  <c r="L1" i="2" l="1"/>
  <c r="N25" i="4" l="1"/>
  <c r="D4" i="6" l="1"/>
  <c r="C4" i="6"/>
  <c r="F4" i="6" l="1"/>
  <c r="E4" i="6"/>
  <c r="D44" i="4" l="1"/>
  <c r="C44" i="4"/>
  <c r="M44" i="2"/>
  <c r="L44" i="2"/>
  <c r="K44" i="2"/>
  <c r="N44" i="2" l="1"/>
  <c r="O44" i="2"/>
  <c r="E44" i="4"/>
</calcChain>
</file>

<file path=xl/sharedStrings.xml><?xml version="1.0" encoding="utf-8"?>
<sst xmlns="http://schemas.openxmlformats.org/spreadsheetml/2006/main" count="54" uniqueCount="44">
  <si>
    <t>Team  Name</t>
  </si>
  <si>
    <t>Status</t>
  </si>
  <si>
    <t>Country</t>
  </si>
  <si>
    <t>Odds</t>
  </si>
  <si>
    <t>Bettings</t>
  </si>
  <si>
    <t>Submitted By</t>
  </si>
  <si>
    <t>Time And Date</t>
  </si>
  <si>
    <t>Match Date</t>
  </si>
  <si>
    <t>Bets</t>
  </si>
  <si>
    <t>Profit</t>
  </si>
  <si>
    <t>Budget</t>
  </si>
  <si>
    <t>Lost</t>
  </si>
  <si>
    <t>Yeald</t>
  </si>
  <si>
    <r>
      <t xml:space="preserve">Overall </t>
    </r>
    <r>
      <rPr>
        <u val="double"/>
        <sz val="24"/>
        <color theme="1"/>
        <rFont val="Calibri"/>
        <family val="2"/>
        <scheme val="minor"/>
      </rPr>
      <t xml:space="preserve">profit </t>
    </r>
    <r>
      <rPr>
        <u val="double"/>
        <sz val="24"/>
        <color theme="3" tint="0.39997558519241921"/>
        <rFont val="Calibri"/>
        <family val="2"/>
        <scheme val="minor"/>
      </rPr>
      <t xml:space="preserve">and </t>
    </r>
    <r>
      <rPr>
        <u val="double"/>
        <sz val="24"/>
        <color rgb="FFC00000"/>
        <rFont val="Calibri"/>
        <family val="2"/>
        <scheme val="minor"/>
      </rPr>
      <t>Lost</t>
    </r>
  </si>
  <si>
    <t>Result</t>
  </si>
  <si>
    <r>
      <t xml:space="preserve">Total </t>
    </r>
    <r>
      <rPr>
        <u val="double"/>
        <sz val="16"/>
        <color rgb="FF00B050"/>
        <rFont val="Calibri"/>
        <family val="2"/>
        <scheme val="minor"/>
      </rPr>
      <t>P</t>
    </r>
    <r>
      <rPr>
        <u val="double"/>
        <sz val="16"/>
        <color theme="1"/>
        <rFont val="Calibri"/>
        <family val="2"/>
        <scheme val="minor"/>
      </rPr>
      <t>/</t>
    </r>
    <r>
      <rPr>
        <u val="double"/>
        <sz val="16"/>
        <color rgb="FFFF0000"/>
        <rFont val="Calibri"/>
        <family val="2"/>
        <scheme val="minor"/>
      </rPr>
      <t>L</t>
    </r>
  </si>
  <si>
    <t>Total Budget</t>
  </si>
  <si>
    <t>Total Wins</t>
  </si>
  <si>
    <t/>
  </si>
  <si>
    <t>S NO</t>
  </si>
  <si>
    <t>Amount</t>
  </si>
  <si>
    <t>Date</t>
  </si>
  <si>
    <t>Source of income</t>
  </si>
  <si>
    <t>Income</t>
  </si>
  <si>
    <t>Expence</t>
  </si>
  <si>
    <t>Loss</t>
  </si>
  <si>
    <t>Source  of Income</t>
  </si>
  <si>
    <t>soccer</t>
  </si>
  <si>
    <t>Gedeza Soccer</t>
  </si>
  <si>
    <t>Budget  Sheet 2022</t>
  </si>
  <si>
    <t xml:space="preserve">Daily 1,5 ODDs and Results </t>
  </si>
  <si>
    <t>Teams</t>
  </si>
  <si>
    <t>ODDS</t>
  </si>
  <si>
    <t>TW/TL</t>
  </si>
  <si>
    <t>Total W/L</t>
  </si>
  <si>
    <t>Total Amount</t>
  </si>
  <si>
    <t>Mixed Metchies</t>
  </si>
  <si>
    <t>Mamelody Sundowns</t>
  </si>
  <si>
    <t>CupGame</t>
  </si>
  <si>
    <t>South Africa Premier</t>
  </si>
  <si>
    <t>Away Win</t>
  </si>
  <si>
    <t>Mnyandu, Sandile</t>
  </si>
  <si>
    <t>18-03-2023 15:40:17</t>
  </si>
  <si>
    <t>win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</si>
</sst>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R&quot;#,##0;[Red]\-&quot;R&quot;#,##0"/>
    <numFmt numFmtId="8" formatCode="&quot;R&quot;#,##0.00;[Red]\-&quot;R&quot;#,##0.00"/>
  </numFmts>
  <fonts count="52" x14ac:knownFonts="1"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u val="double"/>
      <sz val="24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4"/>
      <color theme="1"/>
      <name val="Calibri"/>
      <family val="2"/>
      <scheme val="minor"/>
    </font>
    <font>
      <u val="double"/>
      <sz val="16"/>
      <color theme="0" tint="-0.14999847407452621"/>
      <name val="Calibri"/>
      <family val="2"/>
      <scheme val="minor"/>
    </font>
    <font>
      <u val="double"/>
      <sz val="16"/>
      <color theme="0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theme="9" tint="-0.249977111117893"/>
      <name val="Calibri"/>
      <family val="2"/>
      <scheme val="minor"/>
    </font>
    <font>
      <sz val="11"/>
      <color rgb="FF92D050"/>
      <name val="Calibri"/>
      <family val="2"/>
      <scheme val="minor"/>
    </font>
    <font>
      <sz val="14"/>
      <color rgb="FF92D050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4"/>
      <color rgb="FFC00000"/>
      <name val="Calibri"/>
      <family val="2"/>
      <scheme val="minor"/>
    </font>
    <font>
      <u val="double"/>
      <sz val="16"/>
      <color theme="1"/>
      <name val="Calibri"/>
      <family val="2"/>
      <scheme val="minor"/>
    </font>
    <font>
      <u val="double"/>
      <sz val="24"/>
      <color theme="1"/>
      <name val="Calibri"/>
      <family val="2"/>
      <scheme val="minor"/>
    </font>
    <font>
      <u val="double"/>
      <sz val="24"/>
      <color rgb="FFC00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6"/>
      <color theme="3" tint="0.59999389629810485"/>
      <name val="Calibri"/>
      <family val="2"/>
      <scheme val="minor"/>
    </font>
    <font>
      <sz val="16"/>
      <color rgb="FF00B0F0"/>
      <name val="Calibri"/>
      <family val="2"/>
      <scheme val="minor"/>
    </font>
    <font>
      <u val="double"/>
      <sz val="16"/>
      <color rgb="FF00B050"/>
      <name val="Calibri"/>
      <family val="2"/>
      <scheme val="minor"/>
    </font>
    <font>
      <u val="double"/>
      <sz val="16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3" tint="0.59999389629810485"/>
      <name val="Calibri"/>
      <family val="2"/>
      <scheme val="minor"/>
    </font>
    <font>
      <sz val="11"/>
      <color theme="6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rgb="FF008000"/>
      <name val="Calibri"/>
      <family val="2"/>
    </font>
    <font>
      <sz val="14"/>
      <color rgb="FF003366"/>
      <name val="Calibri"/>
      <family val="2"/>
    </font>
    <font>
      <sz val="14"/>
      <color rgb="FF666699"/>
      <name val="Calibri"/>
      <family val="2"/>
    </font>
    <font>
      <sz val="16"/>
      <color rgb="FF0000FF"/>
      <name val="Calibri"/>
      <family val="2"/>
    </font>
    <font>
      <sz val="14"/>
      <color rgb="FFFF0000"/>
      <name val="Calibri"/>
      <family val="2"/>
    </font>
    <font>
      <sz val="14"/>
      <color rgb="FF993366"/>
      <name val="Calibri"/>
      <family val="2"/>
    </font>
    <font>
      <sz val="14"/>
      <color rgb="FF0000FF"/>
      <name val="Calibri"/>
      <family val="2"/>
    </font>
    <font>
      <sz val="14"/>
      <color rgb="FF00FFFF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3" tint="0.59999389629810485"/>
      <name val="Calibri"/>
      <family val="2"/>
      <scheme val="minor"/>
    </font>
    <font>
      <sz val="11"/>
      <color rgb="FF00B05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u val="double"/>
      <sz val="20"/>
      <color rgb="FF0000FF"/>
      <name val="Calibri"/>
      <family val="2"/>
    </font>
    <font>
      <sz val="11"/>
      <color rgb="FFFA7D00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20"/>
      <color rgb="FF00B0F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gradientFill>
        <stop position="0">
          <color theme="1" tint="0.1490218817712943"/>
        </stop>
        <stop position="1">
          <color theme="4"/>
        </stop>
      </gradient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theme="3" tint="-0.24994659260841701"/>
      </left>
      <right/>
      <top style="thick">
        <color theme="3" tint="-0.24994659260841701"/>
      </top>
      <bottom/>
      <diagonal/>
    </border>
    <border>
      <left/>
      <right/>
      <top style="thick">
        <color theme="3" tint="-0.24994659260841701"/>
      </top>
      <bottom/>
      <diagonal/>
    </border>
    <border>
      <left/>
      <right style="thick">
        <color theme="3" tint="-0.24994659260841701"/>
      </right>
      <top style="thick">
        <color theme="3" tint="-0.24994659260841701"/>
      </top>
      <bottom/>
      <diagonal/>
    </border>
    <border>
      <left style="thick">
        <color theme="3" tint="-0.24994659260841701"/>
      </left>
      <right/>
      <top/>
      <bottom/>
      <diagonal/>
    </border>
    <border>
      <left/>
      <right style="thick">
        <color theme="3" tint="-0.24994659260841701"/>
      </right>
      <top/>
      <bottom/>
      <diagonal/>
    </border>
    <border>
      <left style="thick">
        <color theme="3" tint="-0.24994659260841701"/>
      </left>
      <right/>
      <top/>
      <bottom style="thick">
        <color theme="3" tint="-0.24994659260841701"/>
      </bottom>
      <diagonal/>
    </border>
    <border>
      <left/>
      <right/>
      <top/>
      <bottom style="thick">
        <color theme="3" tint="-0.24994659260841701"/>
      </bottom>
      <diagonal/>
    </border>
    <border>
      <left/>
      <right style="thick">
        <color theme="3" tint="-0.24994659260841701"/>
      </right>
      <top/>
      <bottom style="thick">
        <color theme="3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 style="medium">
        <color indexed="64"/>
      </right>
      <top/>
      <bottom style="double">
        <color rgb="FFFF800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9" fillId="0" borderId="18" applyNumberFormat="0" applyFill="0" applyAlignment="0" applyProtection="0"/>
  </cellStyleXfs>
  <cellXfs count="87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2" borderId="1" xfId="0" quotePrefix="1" applyFont="1" applyFill="1" applyBorder="1"/>
    <xf numFmtId="0" fontId="2" fillId="3" borderId="1" xfId="0" applyFont="1" applyFill="1" applyBorder="1"/>
    <xf numFmtId="0" fontId="3" fillId="3" borderId="1" xfId="0" applyFont="1" applyFill="1" applyBorder="1"/>
    <xf numFmtId="0" fontId="4" fillId="3" borderId="1" xfId="0" applyFont="1" applyFill="1" applyBorder="1"/>
    <xf numFmtId="22" fontId="3" fillId="3" borderId="1" xfId="0" applyNumberFormat="1" applyFont="1" applyFill="1" applyBorder="1"/>
    <xf numFmtId="0" fontId="5" fillId="3" borderId="1" xfId="0" applyFont="1" applyFill="1" applyBorder="1"/>
    <xf numFmtId="0" fontId="6" fillId="3" borderId="1" xfId="0" applyFont="1" applyFill="1" applyBorder="1"/>
    <xf numFmtId="0" fontId="7" fillId="3" borderId="1" xfId="0" applyFont="1" applyFill="1" applyBorder="1"/>
    <xf numFmtId="0" fontId="0" fillId="4" borderId="0" xfId="0" applyFill="1"/>
    <xf numFmtId="14" fontId="4" fillId="3" borderId="1" xfId="0" quotePrefix="1" applyNumberFormat="1" applyFont="1" applyFill="1" applyBorder="1"/>
    <xf numFmtId="0" fontId="10" fillId="6" borderId="0" xfId="0" applyFont="1" applyFill="1" applyBorder="1"/>
    <xf numFmtId="0" fontId="11" fillId="7" borderId="2" xfId="0" applyFont="1" applyFill="1" applyBorder="1"/>
    <xf numFmtId="0" fontId="12" fillId="7" borderId="0" xfId="0" applyFont="1" applyFill="1" applyBorder="1"/>
    <xf numFmtId="0" fontId="0" fillId="8" borderId="3" xfId="0" applyFill="1" applyBorder="1"/>
    <xf numFmtId="0" fontId="0" fillId="8" borderId="4" xfId="0" applyFill="1" applyBorder="1"/>
    <xf numFmtId="0" fontId="16" fillId="6" borderId="2" xfId="0" applyFont="1" applyFill="1" applyBorder="1"/>
    <xf numFmtId="0" fontId="17" fillId="6" borderId="2" xfId="0" applyFont="1" applyFill="1" applyBorder="1"/>
    <xf numFmtId="0" fontId="18" fillId="6" borderId="0" xfId="0" applyFont="1" applyFill="1" applyBorder="1"/>
    <xf numFmtId="0" fontId="19" fillId="6" borderId="0" xfId="0" applyFont="1" applyFill="1" applyBorder="1"/>
    <xf numFmtId="0" fontId="20" fillId="7" borderId="0" xfId="0" applyFont="1" applyFill="1" applyBorder="1"/>
    <xf numFmtId="6" fontId="17" fillId="6" borderId="2" xfId="0" applyNumberFormat="1" applyFont="1" applyFill="1" applyBorder="1"/>
    <xf numFmtId="8" fontId="18" fillId="6" borderId="0" xfId="0" applyNumberFormat="1" applyFont="1" applyFill="1" applyBorder="1"/>
    <xf numFmtId="0" fontId="23" fillId="2" borderId="1" xfId="0" applyFont="1" applyFill="1" applyBorder="1"/>
    <xf numFmtId="22" fontId="24" fillId="3" borderId="1" xfId="0" applyNumberFormat="1" applyFont="1" applyFill="1" applyBorder="1"/>
    <xf numFmtId="0" fontId="24" fillId="3" borderId="1" xfId="0" applyFont="1" applyFill="1" applyBorder="1"/>
    <xf numFmtId="0" fontId="25" fillId="3" borderId="1" xfId="0" applyFont="1" applyFill="1" applyBorder="1"/>
    <xf numFmtId="6" fontId="26" fillId="8" borderId="13" xfId="0" applyNumberFormat="1" applyFont="1" applyFill="1" applyBorder="1"/>
    <xf numFmtId="8" fontId="13" fillId="8" borderId="14" xfId="0" applyNumberFormat="1" applyFont="1" applyFill="1" applyBorder="1"/>
    <xf numFmtId="0" fontId="14" fillId="8" borderId="14" xfId="0" applyFont="1" applyFill="1" applyBorder="1"/>
    <xf numFmtId="0" fontId="15" fillId="8" borderId="14" xfId="0" applyFont="1" applyFill="1" applyBorder="1"/>
    <xf numFmtId="6" fontId="27" fillId="8" borderId="15" xfId="0" applyNumberFormat="1" applyFont="1" applyFill="1" applyBorder="1"/>
    <xf numFmtId="14" fontId="4" fillId="3" borderId="1" xfId="0" applyNumberFormat="1" applyFont="1" applyFill="1" applyBorder="1"/>
    <xf numFmtId="6" fontId="19" fillId="6" borderId="0" xfId="0" applyNumberFormat="1" applyFont="1" applyFill="1" applyBorder="1"/>
    <xf numFmtId="0" fontId="0" fillId="5" borderId="0" xfId="0" applyFill="1"/>
    <xf numFmtId="0" fontId="32" fillId="5" borderId="1" xfId="0" applyFont="1" applyFill="1" applyBorder="1"/>
    <xf numFmtId="0" fontId="31" fillId="5" borderId="1" xfId="0" applyFont="1" applyFill="1" applyBorder="1"/>
    <xf numFmtId="0" fontId="30" fillId="5" borderId="1" xfId="0" applyFont="1" applyFill="1" applyBorder="1"/>
    <xf numFmtId="0" fontId="0" fillId="5" borderId="1" xfId="0" applyFill="1" applyBorder="1"/>
    <xf numFmtId="0" fontId="34" fillId="5" borderId="1" xfId="0" applyFont="1" applyFill="1" applyBorder="1"/>
    <xf numFmtId="0" fontId="16" fillId="5" borderId="1" xfId="0" applyFont="1" applyFill="1" applyBorder="1"/>
    <xf numFmtId="0" fontId="33" fillId="5" borderId="1" xfId="0" applyFont="1" applyFill="1" applyBorder="1"/>
    <xf numFmtId="0" fontId="0" fillId="9" borderId="0" xfId="0" applyFill="1"/>
    <xf numFmtId="0" fontId="0" fillId="9" borderId="0" xfId="0" applyFill="1" applyAlignment="1">
      <alignment vertical="center"/>
    </xf>
    <xf numFmtId="9" fontId="0" fillId="5" borderId="1" xfId="0" applyNumberFormat="1" applyFill="1" applyBorder="1"/>
    <xf numFmtId="0" fontId="0" fillId="10" borderId="0" xfId="0" applyFill="1"/>
    <xf numFmtId="0" fontId="0" fillId="11" borderId="0" xfId="0" applyFill="1"/>
    <xf numFmtId="0" fontId="0" fillId="0" borderId="16" xfId="0" applyBorder="1"/>
    <xf numFmtId="0" fontId="0" fillId="10" borderId="17" xfId="0" applyFill="1" applyBorder="1"/>
    <xf numFmtId="0" fontId="43" fillId="10" borderId="17" xfId="0" applyFont="1" applyFill="1" applyBorder="1"/>
    <xf numFmtId="0" fontId="44" fillId="0" borderId="0" xfId="0" applyFont="1"/>
    <xf numFmtId="14" fontId="0" fillId="0" borderId="0" xfId="0" applyNumberFormat="1"/>
    <xf numFmtId="0" fontId="0" fillId="12" borderId="0" xfId="0" applyFill="1"/>
    <xf numFmtId="0" fontId="46" fillId="0" borderId="1" xfId="0" applyFont="1" applyBorder="1"/>
    <xf numFmtId="3" fontId="0" fillId="0" borderId="1" xfId="0" applyNumberFormat="1" applyBorder="1"/>
    <xf numFmtId="3" fontId="45" fillId="0" borderId="1" xfId="0" applyNumberFormat="1" applyFont="1" applyBorder="1"/>
    <xf numFmtId="3" fontId="5" fillId="0" borderId="1" xfId="0" applyNumberFormat="1" applyFont="1" applyBorder="1"/>
    <xf numFmtId="0" fontId="0" fillId="0" borderId="1" xfId="0" applyBorder="1"/>
    <xf numFmtId="8" fontId="47" fillId="5" borderId="0" xfId="0" applyNumberFormat="1" applyFont="1" applyFill="1"/>
    <xf numFmtId="0" fontId="49" fillId="13" borderId="18" xfId="1" applyFill="1"/>
    <xf numFmtId="14" fontId="49" fillId="0" borderId="18" xfId="1" applyNumberFormat="1"/>
    <xf numFmtId="0" fontId="49" fillId="0" borderId="18" xfId="1"/>
    <xf numFmtId="0" fontId="49" fillId="0" borderId="18" xfId="1" applyAlignment="1">
      <alignment wrapText="1"/>
    </xf>
    <xf numFmtId="0" fontId="30" fillId="13" borderId="0" xfId="1" applyFont="1" applyFill="1" applyBorder="1"/>
    <xf numFmtId="14" fontId="30" fillId="0" borderId="1" xfId="1" applyNumberFormat="1" applyFont="1" applyBorder="1"/>
    <xf numFmtId="0" fontId="49" fillId="0" borderId="1" xfId="1" applyBorder="1"/>
    <xf numFmtId="0" fontId="49" fillId="13" borderId="0" xfId="1" applyFill="1" applyBorder="1"/>
    <xf numFmtId="0" fontId="49" fillId="0" borderId="21" xfId="1" applyBorder="1" applyAlignment="1">
      <alignment wrapText="1"/>
    </xf>
    <xf numFmtId="0" fontId="45" fillId="0" borderId="19" xfId="1" applyFont="1" applyBorder="1"/>
    <xf numFmtId="0" fontId="45" fillId="0" borderId="20" xfId="1" applyFont="1" applyBorder="1"/>
    <xf numFmtId="0" fontId="50" fillId="0" borderId="1" xfId="1" applyFont="1" applyBorder="1" applyAlignment="1">
      <alignment wrapText="1"/>
    </xf>
    <xf numFmtId="0" fontId="49" fillId="13" borderId="22" xfId="1" applyFill="1" applyBorder="1"/>
    <xf numFmtId="0" fontId="8" fillId="5" borderId="5" xfId="0" applyFont="1" applyFill="1" applyBorder="1" applyAlignment="1">
      <alignment horizontal="center" wrapText="1"/>
    </xf>
    <xf numFmtId="0" fontId="9" fillId="5" borderId="6" xfId="0" applyFont="1" applyFill="1" applyBorder="1" applyAlignment="1">
      <alignment horizontal="center" wrapText="1"/>
    </xf>
    <xf numFmtId="0" fontId="9" fillId="5" borderId="7" xfId="0" applyFont="1" applyFill="1" applyBorder="1" applyAlignment="1">
      <alignment horizontal="center" wrapText="1"/>
    </xf>
    <xf numFmtId="0" fontId="9" fillId="5" borderId="8" xfId="0" applyFont="1" applyFill="1" applyBorder="1" applyAlignment="1">
      <alignment horizontal="center" wrapText="1"/>
    </xf>
    <xf numFmtId="0" fontId="9" fillId="5" borderId="0" xfId="0" applyFont="1" applyFill="1" applyBorder="1" applyAlignment="1">
      <alignment horizontal="center" wrapText="1"/>
    </xf>
    <xf numFmtId="0" fontId="9" fillId="5" borderId="9" xfId="0" applyFont="1" applyFill="1" applyBorder="1" applyAlignment="1">
      <alignment horizontal="center" wrapText="1"/>
    </xf>
    <xf numFmtId="0" fontId="9" fillId="5" borderId="10" xfId="0" applyFont="1" applyFill="1" applyBorder="1" applyAlignment="1">
      <alignment horizontal="center" wrapText="1"/>
    </xf>
    <xf numFmtId="0" fontId="9" fillId="5" borderId="11" xfId="0" applyFont="1" applyFill="1" applyBorder="1" applyAlignment="1">
      <alignment horizontal="center" wrapText="1"/>
    </xf>
    <xf numFmtId="0" fontId="9" fillId="5" borderId="12" xfId="0" applyFont="1" applyFill="1" applyBorder="1" applyAlignment="1">
      <alignment horizontal="center" wrapText="1"/>
    </xf>
    <xf numFmtId="0" fontId="43" fillId="10" borderId="17" xfId="0" applyFont="1" applyFill="1" applyBorder="1" applyAlignment="1">
      <alignment horizontal="center"/>
    </xf>
    <xf numFmtId="0" fontId="51" fillId="9" borderId="13" xfId="0" applyFont="1" applyFill="1" applyBorder="1" applyAlignment="1">
      <alignment horizontal="center"/>
    </xf>
    <xf numFmtId="0" fontId="51" fillId="9" borderId="14" xfId="0" applyFont="1" applyFill="1" applyBorder="1" applyAlignment="1">
      <alignment horizontal="center"/>
    </xf>
    <xf numFmtId="0" fontId="51" fillId="9" borderId="15" xfId="0" applyFont="1" applyFill="1" applyBorder="1" applyAlignment="1">
      <alignment horizontal="center"/>
    </xf>
  </cellXfs>
  <cellStyles count="2">
    <cellStyle name="Linked Cell" xfId="1" builtinId="24"/>
    <cellStyle name="Normal" xfId="0" builtinId="0"/>
  </cellStyles>
  <dxfs count="6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9" formatCode="yyyy/mm/dd"/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8" tint="0.39997558519241921"/>
        </patternFill>
      </fill>
    </dxf>
    <dxf>
      <font>
        <strike val="0"/>
        <outline val="0"/>
        <shadow val="0"/>
        <u val="none"/>
        <vertAlign val="baseline"/>
        <sz val="11"/>
        <color theme="3" tint="0.59999389629810485"/>
        <name val="Calibri"/>
        <scheme val="minor"/>
      </font>
    </dxf>
  </dxfs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142874</xdr:colOff>
      <xdr:row>9</xdr:row>
      <xdr:rowOff>85724</xdr:rowOff>
    </xdr:from>
    <xdr:to>
      <xdr:col>20</xdr:col>
      <xdr:colOff>3829049</xdr:colOff>
      <xdr:row>25</xdr:row>
      <xdr:rowOff>76199</xdr:rowOff>
    </xdr:to>
    <xdr:sp macro="[0]!Show_Form" textlink="">
      <xdr:nvSpPr>
        <xdr:cNvPr id="2" name="Rounded Rectangle 1"/>
        <xdr:cNvSpPr/>
      </xdr:nvSpPr>
      <xdr:spPr>
        <a:xfrm>
          <a:off x="8067674" y="1800224"/>
          <a:ext cx="7953375" cy="3038475"/>
        </a:xfrm>
        <a:prstGeom prst="roundRect">
          <a:avLst/>
        </a:prstGeom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4400" b="1" u="sng">
              <a:solidFill>
                <a:schemeClr val="bg2">
                  <a:lumMod val="75000"/>
                </a:schemeClr>
              </a:solidFill>
            </a:rPr>
            <a:t>Mnyandu Soccer Predictions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</xdr:row>
          <xdr:rowOff>19050</xdr:rowOff>
        </xdr:from>
        <xdr:to>
          <xdr:col>18</xdr:col>
          <xdr:colOff>247650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3</xdr:row>
          <xdr:rowOff>133350</xdr:rowOff>
        </xdr:from>
        <xdr:to>
          <xdr:col>18</xdr:col>
          <xdr:colOff>257175</xdr:colOff>
          <xdr:row>4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0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PROFIT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5</xdr:row>
          <xdr:rowOff>85725</xdr:rowOff>
        </xdr:from>
        <xdr:to>
          <xdr:col>18</xdr:col>
          <xdr:colOff>266700</xdr:colOff>
          <xdr:row>6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0" i="0" u="none" strike="noStrike" baseline="0">
                  <a:solidFill>
                    <a:srgbClr val="666699"/>
                  </a:solidFill>
                  <a:latin typeface="Calibri"/>
                  <a:cs typeface="Calibri"/>
                </a:rPr>
                <a:t>LOST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7</xdr:row>
          <xdr:rowOff>57150</xdr:rowOff>
        </xdr:from>
        <xdr:to>
          <xdr:col>18</xdr:col>
          <xdr:colOff>276225</xdr:colOff>
          <xdr:row>8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YIELD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9</xdr:row>
          <xdr:rowOff>38100</xdr:rowOff>
        </xdr:from>
        <xdr:to>
          <xdr:col>18</xdr:col>
          <xdr:colOff>295275</xdr:colOff>
          <xdr:row>10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20</xdr:row>
          <xdr:rowOff>133350</xdr:rowOff>
        </xdr:from>
        <xdr:to>
          <xdr:col>18</xdr:col>
          <xdr:colOff>447675</xdr:colOff>
          <xdr:row>23</xdr:row>
          <xdr:rowOff>200025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2000" b="1" i="0" u="dbl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Home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4</xdr:row>
          <xdr:rowOff>28575</xdr:rowOff>
        </xdr:from>
        <xdr:to>
          <xdr:col>11</xdr:col>
          <xdr:colOff>381000</xdr:colOff>
          <xdr:row>5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6</xdr:row>
          <xdr:rowOff>0</xdr:rowOff>
        </xdr:from>
        <xdr:to>
          <xdr:col>11</xdr:col>
          <xdr:colOff>361950</xdr:colOff>
          <xdr:row>7</xdr:row>
          <xdr:rowOff>133350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0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ODDS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9</xdr:row>
          <xdr:rowOff>0</xdr:rowOff>
        </xdr:from>
        <xdr:to>
          <xdr:col>11</xdr:col>
          <xdr:colOff>361950</xdr:colOff>
          <xdr:row>10</xdr:row>
          <xdr:rowOff>133350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WINS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12</xdr:row>
          <xdr:rowOff>28575</xdr:rowOff>
        </xdr:from>
        <xdr:to>
          <xdr:col>11</xdr:col>
          <xdr:colOff>361950</xdr:colOff>
          <xdr:row>13</xdr:row>
          <xdr:rowOff>161925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0" i="0" u="none" strike="noStrike" baseline="0">
                  <a:solidFill>
                    <a:srgbClr val="00FFFF"/>
                  </a:solidFill>
                  <a:latin typeface="Calibri"/>
                  <a:cs typeface="Calibri"/>
                </a:rPr>
                <a:t>PROFIT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15</xdr:row>
          <xdr:rowOff>47625</xdr:rowOff>
        </xdr:from>
        <xdr:to>
          <xdr:col>11</xdr:col>
          <xdr:colOff>371475</xdr:colOff>
          <xdr:row>16</xdr:row>
          <xdr:rowOff>180975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0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YIELD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18</xdr:row>
          <xdr:rowOff>152400</xdr:rowOff>
        </xdr:from>
        <xdr:to>
          <xdr:col>11</xdr:col>
          <xdr:colOff>333375</xdr:colOff>
          <xdr:row>20</xdr:row>
          <xdr:rowOff>95250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0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PROFIT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419100</xdr:colOff>
          <xdr:row>4</xdr:row>
          <xdr:rowOff>66675</xdr:rowOff>
        </xdr:from>
        <xdr:to>
          <xdr:col>16</xdr:col>
          <xdr:colOff>333375</xdr:colOff>
          <xdr:row>5</xdr:row>
          <xdr:rowOff>19050</xdr:rowOff>
        </xdr:to>
        <xdr:sp macro="" textlink="">
          <xdr:nvSpPr>
            <xdr:cNvPr id="3084" name="CommandButton1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6</xdr:row>
          <xdr:rowOff>76200</xdr:rowOff>
        </xdr:from>
        <xdr:to>
          <xdr:col>16</xdr:col>
          <xdr:colOff>400050</xdr:colOff>
          <xdr:row>7</xdr:row>
          <xdr:rowOff>171450</xdr:rowOff>
        </xdr:to>
        <xdr:sp macro="" textlink="">
          <xdr:nvSpPr>
            <xdr:cNvPr id="3085" name="ComboBox1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9</xdr:row>
          <xdr:rowOff>28575</xdr:rowOff>
        </xdr:from>
        <xdr:to>
          <xdr:col>16</xdr:col>
          <xdr:colOff>390525</xdr:colOff>
          <xdr:row>10</xdr:row>
          <xdr:rowOff>123825</xdr:rowOff>
        </xdr:to>
        <xdr:sp macro="" textlink="">
          <xdr:nvSpPr>
            <xdr:cNvPr id="3087" name="ComboBox2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12</xdr:row>
          <xdr:rowOff>57150</xdr:rowOff>
        </xdr:from>
        <xdr:to>
          <xdr:col>16</xdr:col>
          <xdr:colOff>371475</xdr:colOff>
          <xdr:row>13</xdr:row>
          <xdr:rowOff>152400</xdr:rowOff>
        </xdr:to>
        <xdr:sp macro="" textlink="">
          <xdr:nvSpPr>
            <xdr:cNvPr id="3089" name="ComboBox3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4</xdr:row>
      <xdr:rowOff>47624</xdr:rowOff>
    </xdr:from>
    <xdr:to>
      <xdr:col>3</xdr:col>
      <xdr:colOff>142875</xdr:colOff>
      <xdr:row>7</xdr:row>
      <xdr:rowOff>95249</xdr:rowOff>
    </xdr:to>
    <xdr:sp macro="" textlink="">
      <xdr:nvSpPr>
        <xdr:cNvPr id="2" name="Rectangle 1"/>
        <xdr:cNvSpPr/>
      </xdr:nvSpPr>
      <xdr:spPr>
        <a:xfrm>
          <a:off x="438150" y="828674"/>
          <a:ext cx="1657350" cy="619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3</xdr:col>
      <xdr:colOff>342899</xdr:colOff>
      <xdr:row>4</xdr:row>
      <xdr:rowOff>47624</xdr:rowOff>
    </xdr:from>
    <xdr:to>
      <xdr:col>4</xdr:col>
      <xdr:colOff>904875</xdr:colOff>
      <xdr:row>7</xdr:row>
      <xdr:rowOff>95249</xdr:rowOff>
    </xdr:to>
    <xdr:sp macro="" textlink="">
      <xdr:nvSpPr>
        <xdr:cNvPr id="3" name="Rectangle 2"/>
        <xdr:cNvSpPr/>
      </xdr:nvSpPr>
      <xdr:spPr>
        <a:xfrm>
          <a:off x="2295524" y="828674"/>
          <a:ext cx="1819276" cy="619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</xdr:col>
      <xdr:colOff>28574</xdr:colOff>
      <xdr:row>4</xdr:row>
      <xdr:rowOff>47625</xdr:rowOff>
    </xdr:from>
    <xdr:to>
      <xdr:col>8</xdr:col>
      <xdr:colOff>381000</xdr:colOff>
      <xdr:row>7</xdr:row>
      <xdr:rowOff>123825</xdr:rowOff>
    </xdr:to>
    <xdr:sp macro="" textlink="">
      <xdr:nvSpPr>
        <xdr:cNvPr id="4" name="Rectangle 3"/>
        <xdr:cNvSpPr/>
      </xdr:nvSpPr>
      <xdr:spPr>
        <a:xfrm>
          <a:off x="4381499" y="828675"/>
          <a:ext cx="1990726" cy="647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8</xdr:col>
      <xdr:colOff>457200</xdr:colOff>
      <xdr:row>4</xdr:row>
      <xdr:rowOff>76199</xdr:rowOff>
    </xdr:from>
    <xdr:to>
      <xdr:col>9</xdr:col>
      <xdr:colOff>942975</xdr:colOff>
      <xdr:row>7</xdr:row>
      <xdr:rowOff>161924</xdr:rowOff>
    </xdr:to>
    <xdr:sp macro="" textlink="">
      <xdr:nvSpPr>
        <xdr:cNvPr id="5" name="Rectangle 4"/>
        <xdr:cNvSpPr/>
      </xdr:nvSpPr>
      <xdr:spPr>
        <a:xfrm>
          <a:off x="6448425" y="857249"/>
          <a:ext cx="1819275" cy="6572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1</xdr:col>
      <xdr:colOff>238125</xdr:colOff>
      <xdr:row>4</xdr:row>
      <xdr:rowOff>85724</xdr:rowOff>
    </xdr:from>
    <xdr:to>
      <xdr:col>1</xdr:col>
      <xdr:colOff>619125</xdr:colOff>
      <xdr:row>6</xdr:row>
      <xdr:rowOff>66675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" y="866774"/>
          <a:ext cx="381000" cy="361951"/>
        </a:xfrm>
        <a:prstGeom prst="rect">
          <a:avLst/>
        </a:prstGeom>
      </xdr:spPr>
    </xdr:pic>
    <xdr:clientData/>
  </xdr:twoCellAnchor>
  <xdr:twoCellAnchor editAs="oneCell">
    <xdr:from>
      <xdr:col>3</xdr:col>
      <xdr:colOff>400336</xdr:colOff>
      <xdr:row>4</xdr:row>
      <xdr:rowOff>76200</xdr:rowOff>
    </xdr:from>
    <xdr:to>
      <xdr:col>3</xdr:col>
      <xdr:colOff>733426</xdr:colOff>
      <xdr:row>5</xdr:row>
      <xdr:rowOff>180975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786" y="857250"/>
          <a:ext cx="333090" cy="295275"/>
        </a:xfrm>
        <a:prstGeom prst="rect">
          <a:avLst/>
        </a:prstGeom>
      </xdr:spPr>
    </xdr:pic>
    <xdr:clientData/>
  </xdr:twoCellAnchor>
  <xdr:twoCellAnchor editAs="oneCell">
    <xdr:from>
      <xdr:col>8</xdr:col>
      <xdr:colOff>514350</xdr:colOff>
      <xdr:row>4</xdr:row>
      <xdr:rowOff>104776</xdr:rowOff>
    </xdr:from>
    <xdr:to>
      <xdr:col>8</xdr:col>
      <xdr:colOff>1019176</xdr:colOff>
      <xdr:row>6</xdr:row>
      <xdr:rowOff>66676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05575" y="885826"/>
          <a:ext cx="504826" cy="342900"/>
        </a:xfrm>
        <a:prstGeom prst="rect">
          <a:avLst/>
        </a:prstGeom>
      </xdr:spPr>
    </xdr:pic>
    <xdr:clientData/>
  </xdr:twoCellAnchor>
  <xdr:twoCellAnchor editAs="oneCell">
    <xdr:from>
      <xdr:col>6</xdr:col>
      <xdr:colOff>66675</xdr:colOff>
      <xdr:row>4</xdr:row>
      <xdr:rowOff>57152</xdr:rowOff>
    </xdr:from>
    <xdr:to>
      <xdr:col>6</xdr:col>
      <xdr:colOff>409575</xdr:colOff>
      <xdr:row>6</xdr:row>
      <xdr:rowOff>28576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838202"/>
          <a:ext cx="342900" cy="352424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304800</xdr:colOff>
      <xdr:row>13</xdr:row>
      <xdr:rowOff>114300</xdr:rowOff>
    </xdr:to>
    <xdr:sp macro="" textlink="">
      <xdr:nvSpPr>
        <xdr:cNvPr id="4098" name="AutoShape 2" descr="Image result for Money Icon Png"/>
        <xdr:cNvSpPr>
          <a:spLocks noChangeAspect="1" noChangeArrowheads="1"/>
        </xdr:cNvSpPr>
      </xdr:nvSpPr>
      <xdr:spPr bwMode="auto">
        <a:xfrm>
          <a:off x="8715375" y="230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714375</xdr:colOff>
      <xdr:row>4</xdr:row>
      <xdr:rowOff>57150</xdr:rowOff>
    </xdr:from>
    <xdr:to>
      <xdr:col>3</xdr:col>
      <xdr:colOff>104775</xdr:colOff>
      <xdr:row>5</xdr:row>
      <xdr:rowOff>85725</xdr:rowOff>
    </xdr:to>
    <xdr:sp macro="" textlink="">
      <xdr:nvSpPr>
        <xdr:cNvPr id="16" name="Rectangle 15"/>
        <xdr:cNvSpPr/>
      </xdr:nvSpPr>
      <xdr:spPr>
        <a:xfrm>
          <a:off x="942975" y="838200"/>
          <a:ext cx="857250" cy="219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chemeClr val="accent3">
                  <a:lumMod val="60000"/>
                  <a:lumOff val="40000"/>
                </a:schemeClr>
              </a:solidFill>
            </a:rPr>
            <a:t>Total Capital</a:t>
          </a:r>
        </a:p>
      </xdr:txBody>
    </xdr:sp>
    <xdr:clientData/>
  </xdr:twoCellAnchor>
  <xdr:twoCellAnchor>
    <xdr:from>
      <xdr:col>3</xdr:col>
      <xdr:colOff>704850</xdr:colOff>
      <xdr:row>4</xdr:row>
      <xdr:rowOff>76200</xdr:rowOff>
    </xdr:from>
    <xdr:to>
      <xdr:col>4</xdr:col>
      <xdr:colOff>657225</xdr:colOff>
      <xdr:row>5</xdr:row>
      <xdr:rowOff>104775</xdr:rowOff>
    </xdr:to>
    <xdr:sp macro="" textlink="">
      <xdr:nvSpPr>
        <xdr:cNvPr id="19" name="Rectangle 18"/>
        <xdr:cNvSpPr/>
      </xdr:nvSpPr>
      <xdr:spPr>
        <a:xfrm>
          <a:off x="2657475" y="857250"/>
          <a:ext cx="1209675" cy="219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chemeClr val="accent3">
                  <a:lumMod val="60000"/>
                  <a:lumOff val="40000"/>
                </a:schemeClr>
              </a:solidFill>
            </a:rPr>
            <a:t>Total</a:t>
          </a:r>
          <a:r>
            <a:rPr lang="en-ZA" sz="1100" b="1" baseline="0">
              <a:solidFill>
                <a:schemeClr val="accent3">
                  <a:lumMod val="60000"/>
                  <a:lumOff val="40000"/>
                </a:schemeClr>
              </a:solidFill>
            </a:rPr>
            <a:t> Bet</a:t>
          </a:r>
          <a:endParaRPr lang="en-ZA" sz="1100" b="1">
            <a:solidFill>
              <a:schemeClr val="accent3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6</xdr:col>
      <xdr:colOff>419100</xdr:colOff>
      <xdr:row>4</xdr:row>
      <xdr:rowOff>76200</xdr:rowOff>
    </xdr:from>
    <xdr:to>
      <xdr:col>8</xdr:col>
      <xdr:colOff>314325</xdr:colOff>
      <xdr:row>5</xdr:row>
      <xdr:rowOff>104775</xdr:rowOff>
    </xdr:to>
    <xdr:sp macro="" textlink="">
      <xdr:nvSpPr>
        <xdr:cNvPr id="20" name="Rectangle 19"/>
        <xdr:cNvSpPr/>
      </xdr:nvSpPr>
      <xdr:spPr>
        <a:xfrm>
          <a:off x="4676775" y="857250"/>
          <a:ext cx="1238250" cy="219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chemeClr val="accent3">
                  <a:lumMod val="60000"/>
                  <a:lumOff val="40000"/>
                </a:schemeClr>
              </a:solidFill>
            </a:rPr>
            <a:t>Won</a:t>
          </a:r>
        </a:p>
      </xdr:txBody>
    </xdr:sp>
    <xdr:clientData/>
  </xdr:twoCellAnchor>
  <xdr:twoCellAnchor>
    <xdr:from>
      <xdr:col>8</xdr:col>
      <xdr:colOff>1066800</xdr:colOff>
      <xdr:row>4</xdr:row>
      <xdr:rowOff>76200</xdr:rowOff>
    </xdr:from>
    <xdr:to>
      <xdr:col>9</xdr:col>
      <xdr:colOff>952500</xdr:colOff>
      <xdr:row>5</xdr:row>
      <xdr:rowOff>104775</xdr:rowOff>
    </xdr:to>
    <xdr:sp macro="" textlink="">
      <xdr:nvSpPr>
        <xdr:cNvPr id="21" name="Rectangle 20"/>
        <xdr:cNvSpPr/>
      </xdr:nvSpPr>
      <xdr:spPr>
        <a:xfrm>
          <a:off x="6667500" y="857250"/>
          <a:ext cx="1219200" cy="219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chemeClr val="accent3">
                  <a:lumMod val="60000"/>
                  <a:lumOff val="40000"/>
                </a:schemeClr>
              </a:solidFill>
            </a:rPr>
            <a:t>Lost</a:t>
          </a:r>
        </a:p>
      </xdr:txBody>
    </xdr:sp>
    <xdr:clientData/>
  </xdr:twoCellAnchor>
  <xdr:twoCellAnchor>
    <xdr:from>
      <xdr:col>2</xdr:col>
      <xdr:colOff>114300</xdr:colOff>
      <xdr:row>5</xdr:row>
      <xdr:rowOff>38100</xdr:rowOff>
    </xdr:from>
    <xdr:to>
      <xdr:col>3</xdr:col>
      <xdr:colOff>133350</xdr:colOff>
      <xdr:row>6</xdr:row>
      <xdr:rowOff>161925</xdr:rowOff>
    </xdr:to>
    <xdr:sp macro="" textlink="Data!C4">
      <xdr:nvSpPr>
        <xdr:cNvPr id="17" name="Rectangle 16"/>
        <xdr:cNvSpPr/>
      </xdr:nvSpPr>
      <xdr:spPr>
        <a:xfrm>
          <a:off x="1076325" y="1009650"/>
          <a:ext cx="100965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8E7B761-78F5-4D27-90E4-3AB5B3586D80}" type="TxLink">
            <a:rPr lang="en-ZA" sz="2000" b="1">
              <a:solidFill>
                <a:schemeClr val="tx1"/>
              </a:solidFill>
            </a:rPr>
            <a:pPr algn="l"/>
            <a:t>1 400</a:t>
          </a:fld>
          <a:endParaRPr lang="en-ZA" sz="20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771524</xdr:colOff>
      <xdr:row>5</xdr:row>
      <xdr:rowOff>38099</xdr:rowOff>
    </xdr:from>
    <xdr:to>
      <xdr:col>4</xdr:col>
      <xdr:colOff>523874</xdr:colOff>
      <xdr:row>6</xdr:row>
      <xdr:rowOff>161924</xdr:rowOff>
    </xdr:to>
    <xdr:sp macro="" textlink="Data!D4">
      <xdr:nvSpPr>
        <xdr:cNvPr id="24" name="Rectangle 23"/>
        <xdr:cNvSpPr/>
      </xdr:nvSpPr>
      <xdr:spPr>
        <a:xfrm>
          <a:off x="2724149" y="1009649"/>
          <a:ext cx="100965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7F6DA81-BB9C-4AA8-A1A0-D66DA9CE257F}" type="TxLink">
            <a:rPr lang="en-ZA" sz="2000" b="1">
              <a:solidFill>
                <a:schemeClr val="accent1">
                  <a:lumMod val="75000"/>
                </a:schemeClr>
              </a:solidFill>
            </a:rPr>
            <a:pPr algn="l"/>
            <a:t>3 400</a:t>
          </a:fld>
          <a:endParaRPr lang="en-ZA" sz="2000" b="1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6</xdr:col>
      <xdr:colOff>447674</xdr:colOff>
      <xdr:row>5</xdr:row>
      <xdr:rowOff>19050</xdr:rowOff>
    </xdr:from>
    <xdr:to>
      <xdr:col>7</xdr:col>
      <xdr:colOff>847724</xdr:colOff>
      <xdr:row>6</xdr:row>
      <xdr:rowOff>142875</xdr:rowOff>
    </xdr:to>
    <xdr:sp macro="" textlink="Data!E4">
      <xdr:nvSpPr>
        <xdr:cNvPr id="27" name="Rectangle 26"/>
        <xdr:cNvSpPr/>
      </xdr:nvSpPr>
      <xdr:spPr>
        <a:xfrm>
          <a:off x="4800599" y="990600"/>
          <a:ext cx="100965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520C48C-04DE-47BA-AE13-936F2E6E1F7D}" type="TxLink">
            <a:rPr lang="en-ZA" sz="2000" b="1">
              <a:solidFill>
                <a:srgbClr val="00B050"/>
              </a:solidFill>
            </a:rPr>
            <a:pPr algn="l"/>
            <a:t>0</a:t>
          </a:fld>
          <a:endParaRPr lang="en-ZA" sz="2000" b="1">
            <a:solidFill>
              <a:srgbClr val="00B050"/>
            </a:solidFill>
          </a:endParaRPr>
        </a:p>
      </xdr:txBody>
    </xdr:sp>
    <xdr:clientData/>
  </xdr:twoCellAnchor>
  <xdr:twoCellAnchor>
    <xdr:from>
      <xdr:col>8</xdr:col>
      <xdr:colOff>1238250</xdr:colOff>
      <xdr:row>5</xdr:row>
      <xdr:rowOff>47624</xdr:rowOff>
    </xdr:from>
    <xdr:to>
      <xdr:col>9</xdr:col>
      <xdr:colOff>914400</xdr:colOff>
      <xdr:row>6</xdr:row>
      <xdr:rowOff>171449</xdr:rowOff>
    </xdr:to>
    <xdr:sp macro="" textlink="Data!F4">
      <xdr:nvSpPr>
        <xdr:cNvPr id="29" name="Rectangle 28"/>
        <xdr:cNvSpPr/>
      </xdr:nvSpPr>
      <xdr:spPr>
        <a:xfrm>
          <a:off x="7229475" y="1019174"/>
          <a:ext cx="100965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AED094E-C0CF-46FA-B2C8-7050E3658657}" type="TxLink">
            <a:rPr lang="en-ZA" sz="2000" b="1">
              <a:solidFill>
                <a:srgbClr val="FF0000"/>
              </a:solidFill>
            </a:rPr>
            <a:pPr algn="l"/>
            <a:t>2 000</a:t>
          </a:fld>
          <a:endParaRPr lang="en-ZA" sz="2000" b="1">
            <a:solidFill>
              <a:srgbClr val="FF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ble2" displayName="Table2" ref="G12:J19" totalsRowShown="0" headerRowDxfId="5">
  <autoFilter ref="G12:J19"/>
  <tableColumns count="4">
    <tableColumn id="1" name="S NO"/>
    <tableColumn id="2" name="Date"/>
    <tableColumn id="3" name="Source of income"/>
    <tableColumn id="4" name="Amount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id="3" name="Table3" displayName="Table3" ref="B12:E18" totalsRowShown="0" headerRowDxfId="4">
  <autoFilter ref="B12:E18"/>
  <tableColumns count="4">
    <tableColumn id="1" name="S NO"/>
    <tableColumn id="2" name="Date"/>
    <tableColumn id="3" name="Source  of Income"/>
    <tableColumn id="4" name="Am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D3:H38" totalsRowShown="0" headerRowDxfId="3" headerRowCellStyle="Linked Cell" dataCellStyle="Linked Cell">
  <autoFilter ref="D3:H38"/>
  <tableColumns count="5">
    <tableColumn id="1" name="Date" dataDxfId="2" dataCellStyle="Linked Cell">
      <calculatedColumnFormula>D3+1</calculatedColumnFormula>
    </tableColumn>
    <tableColumn id="2" name="Teams" dataCellStyle="Linked Cell"/>
    <tableColumn id="3" name="ODDS" dataDxfId="1" dataCellStyle="Linked Cell"/>
    <tableColumn id="4" name="TW/TL" dataCellStyle="Linked Cell"/>
    <tableColumn id="5" name="Total W/L" dataDxfId="0" dataCellStyle="Linked C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F1:U35"/>
  <sheetViews>
    <sheetView showGridLines="0" showRowColHeaders="0" topLeftCell="G1" zoomScaleNormal="100" workbookViewId="0">
      <selection activeCell="U8" sqref="U8"/>
    </sheetView>
  </sheetViews>
  <sheetFormatPr defaultRowHeight="15" x14ac:dyDescent="0.25"/>
  <cols>
    <col min="21" max="21" width="125" customWidth="1"/>
  </cols>
  <sheetData>
    <row r="1" spans="6:21" x14ac:dyDescent="0.25"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</row>
    <row r="2" spans="6:21" x14ac:dyDescent="0.25"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</row>
    <row r="3" spans="6:21" x14ac:dyDescent="0.25"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</row>
    <row r="4" spans="6:21" x14ac:dyDescent="0.25"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6:21" x14ac:dyDescent="0.25"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6:2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</row>
    <row r="7" spans="6:2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</row>
    <row r="8" spans="6:2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6:2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</row>
    <row r="10" spans="6:2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</row>
    <row r="11" spans="6:2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</row>
    <row r="12" spans="6:2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</row>
    <row r="13" spans="6:2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</row>
    <row r="14" spans="6:21" x14ac:dyDescent="0.25"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</row>
    <row r="15" spans="6:21" x14ac:dyDescent="0.25"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</row>
    <row r="16" spans="6:21" x14ac:dyDescent="0.25"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</row>
    <row r="17" spans="6:21" x14ac:dyDescent="0.25"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</row>
    <row r="18" spans="6:21" x14ac:dyDescent="0.25"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</row>
    <row r="19" spans="6:21" x14ac:dyDescent="0.25"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6:21" x14ac:dyDescent="0.25"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6:21" x14ac:dyDescent="0.25"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</row>
    <row r="22" spans="6:21" x14ac:dyDescent="0.25"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</row>
    <row r="23" spans="6:21" x14ac:dyDescent="0.25"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</row>
    <row r="24" spans="6:21" x14ac:dyDescent="0.25"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6:21" x14ac:dyDescent="0.25"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</row>
    <row r="26" spans="6:21" x14ac:dyDescent="0.25"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</row>
    <row r="27" spans="6:21" x14ac:dyDescent="0.25"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</row>
    <row r="28" spans="6:21" x14ac:dyDescent="0.25"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</row>
    <row r="29" spans="6:21" x14ac:dyDescent="0.25"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</row>
    <row r="30" spans="6:21" x14ac:dyDescent="0.25"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</row>
    <row r="31" spans="6:21" x14ac:dyDescent="0.25"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</row>
    <row r="32" spans="6:21" x14ac:dyDescent="0.25"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</row>
    <row r="33" spans="6:21" x14ac:dyDescent="0.25"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</row>
    <row r="34" spans="6:21" x14ac:dyDescent="0.25"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</row>
    <row r="35" spans="6:21" ht="93.75" customHeight="1" x14ac:dyDescent="0.25"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O52"/>
  <sheetViews>
    <sheetView showGridLines="0" showRowColHeaders="0" topLeftCell="A19" zoomScale="90" zoomScaleNormal="90" workbookViewId="0">
      <selection activeCell="E23" sqref="E23"/>
    </sheetView>
  </sheetViews>
  <sheetFormatPr defaultRowHeight="15" x14ac:dyDescent="0.25"/>
  <cols>
    <col min="1" max="1" width="5.140625" customWidth="1"/>
    <col min="2" max="2" width="23.140625" customWidth="1"/>
    <col min="3" max="3" width="21.5703125" customWidth="1"/>
    <col min="4" max="4" width="15.28515625" customWidth="1"/>
    <col min="5" max="5" width="18.28515625" customWidth="1"/>
    <col min="6" max="6" width="8.42578125" customWidth="1"/>
    <col min="7" max="7" width="17.7109375" customWidth="1"/>
    <col min="8" max="8" width="19.28515625" customWidth="1"/>
    <col min="9" max="10" width="20.5703125" customWidth="1"/>
    <col min="11" max="11" width="16.7109375" customWidth="1"/>
    <col min="12" max="12" width="15.85546875" customWidth="1"/>
    <col min="13" max="13" width="17.28515625" customWidth="1"/>
    <col min="14" max="15" width="16.28515625" customWidth="1"/>
    <col min="16" max="16" width="11" customWidth="1"/>
    <col min="17" max="17" width="12" customWidth="1"/>
  </cols>
  <sheetData>
    <row r="1" spans="1:15" s="1" customFormat="1" ht="15.75" thickBot="1" x14ac:dyDescent="0.3">
      <c r="A1" s="2" t="s">
        <v>8</v>
      </c>
      <c r="B1" s="25" t="s">
        <v>0</v>
      </c>
      <c r="C1" s="3" t="s">
        <v>7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14</v>
      </c>
      <c r="L1" s="1" t="e">
        <f>IF(L&gt;K,"Win","Lost")</f>
        <v>#NAME?</v>
      </c>
    </row>
    <row r="2" spans="1:15" ht="15.75" thickTop="1" x14ac:dyDescent="0.25">
      <c r="A2" s="4">
        <v>1</v>
      </c>
      <c r="B2" s="9" t="s">
        <v>37</v>
      </c>
      <c r="C2" s="12" t="s">
        <v>18</v>
      </c>
      <c r="D2" s="4" t="s">
        <v>38</v>
      </c>
      <c r="E2" s="4" t="s">
        <v>39</v>
      </c>
      <c r="F2" s="10">
        <v>2.7</v>
      </c>
      <c r="G2" s="5" t="s">
        <v>40</v>
      </c>
      <c r="H2" s="28" t="s">
        <v>41</v>
      </c>
      <c r="I2" s="7" t="s">
        <v>42</v>
      </c>
      <c r="J2" s="26" t="s">
        <v>43</v>
      </c>
      <c r="K2" s="74" t="s">
        <v>13</v>
      </c>
      <c r="L2" s="75"/>
      <c r="M2" s="75"/>
      <c r="N2" s="75"/>
      <c r="O2" s="76"/>
    </row>
    <row r="3" spans="1:15" x14ac:dyDescent="0.25">
      <c r="A3" s="4"/>
      <c r="B3" s="9"/>
      <c r="C3" s="12"/>
      <c r="D3" s="4"/>
      <c r="E3" s="4"/>
      <c r="F3" s="10"/>
      <c r="G3" s="5"/>
      <c r="H3" s="28"/>
      <c r="I3" s="7"/>
      <c r="J3" s="26"/>
      <c r="K3" s="77"/>
      <c r="L3" s="78"/>
      <c r="M3" s="78"/>
      <c r="N3" s="78"/>
      <c r="O3" s="79"/>
    </row>
    <row r="4" spans="1:15" ht="15.75" thickBot="1" x14ac:dyDescent="0.3">
      <c r="A4" s="4"/>
      <c r="B4" s="9"/>
      <c r="C4" s="12"/>
      <c r="D4" s="4"/>
      <c r="E4" s="4"/>
      <c r="F4" s="10"/>
      <c r="G4" s="5"/>
      <c r="H4" s="28"/>
      <c r="I4" s="7"/>
      <c r="J4" s="26"/>
      <c r="K4" s="80"/>
      <c r="L4" s="81"/>
      <c r="M4" s="81"/>
      <c r="N4" s="81"/>
      <c r="O4" s="82"/>
    </row>
    <row r="5" spans="1:15" ht="21.75" thickTop="1" x14ac:dyDescent="0.35">
      <c r="A5" s="4"/>
      <c r="B5" s="9"/>
      <c r="C5" s="12"/>
      <c r="D5" s="4"/>
      <c r="E5" s="4"/>
      <c r="F5" s="10"/>
      <c r="G5" s="5"/>
      <c r="H5" s="28"/>
      <c r="I5" s="7"/>
      <c r="J5" s="26"/>
      <c r="K5" s="14" t="s">
        <v>10</v>
      </c>
      <c r="L5" s="15" t="s">
        <v>9</v>
      </c>
      <c r="M5" s="15" t="s">
        <v>11</v>
      </c>
      <c r="N5" s="15" t="s">
        <v>12</v>
      </c>
      <c r="O5" s="22" t="s">
        <v>15</v>
      </c>
    </row>
    <row r="6" spans="1:15" ht="18.75" x14ac:dyDescent="0.3">
      <c r="A6" s="4"/>
      <c r="B6" s="9"/>
      <c r="C6" s="12"/>
      <c r="D6" s="4"/>
      <c r="E6" s="4"/>
      <c r="F6" s="10"/>
      <c r="G6" s="5"/>
      <c r="H6" s="28"/>
      <c r="I6" s="7"/>
      <c r="J6" s="26"/>
      <c r="K6" s="23">
        <v>2000</v>
      </c>
      <c r="L6" s="24">
        <v>8658</v>
      </c>
      <c r="M6" s="21">
        <v>1500</v>
      </c>
      <c r="N6" s="13"/>
      <c r="O6" s="13"/>
    </row>
    <row r="7" spans="1:15" ht="18.75" x14ac:dyDescent="0.3">
      <c r="A7" s="4"/>
      <c r="B7" s="9"/>
      <c r="C7" s="12"/>
      <c r="D7" s="4"/>
      <c r="E7" s="4"/>
      <c r="F7" s="10"/>
      <c r="G7" s="5"/>
      <c r="H7" s="28"/>
      <c r="I7" s="7"/>
      <c r="J7" s="26"/>
      <c r="K7" s="23">
        <v>100</v>
      </c>
      <c r="L7" s="20"/>
      <c r="M7" s="35">
        <v>100</v>
      </c>
      <c r="N7" s="13"/>
      <c r="O7" s="13"/>
    </row>
    <row r="8" spans="1:15" ht="18.75" x14ac:dyDescent="0.3">
      <c r="A8" s="4"/>
      <c r="B8" s="9"/>
      <c r="C8" s="6"/>
      <c r="D8" s="4"/>
      <c r="E8" s="4"/>
      <c r="F8" s="10"/>
      <c r="G8" s="5"/>
      <c r="H8" s="28"/>
      <c r="I8" s="7"/>
      <c r="J8" s="27"/>
      <c r="K8" s="19"/>
      <c r="L8" s="20"/>
      <c r="M8" s="21"/>
      <c r="N8" s="13"/>
      <c r="O8" s="13"/>
    </row>
    <row r="9" spans="1:15" ht="18.75" x14ac:dyDescent="0.3">
      <c r="A9" s="4"/>
      <c r="B9" s="9"/>
      <c r="C9" s="34"/>
      <c r="D9" s="4"/>
      <c r="E9" s="4"/>
      <c r="F9" s="10"/>
      <c r="G9" s="5"/>
      <c r="H9" s="28"/>
      <c r="I9" s="5"/>
      <c r="J9" s="27"/>
      <c r="K9" s="19"/>
      <c r="L9" s="20"/>
      <c r="M9" s="21"/>
      <c r="N9" s="13"/>
      <c r="O9" s="13"/>
    </row>
    <row r="10" spans="1:15" ht="18.75" x14ac:dyDescent="0.3">
      <c r="A10" s="4"/>
      <c r="B10" s="9"/>
      <c r="C10" s="12" t="s">
        <v>18</v>
      </c>
      <c r="D10" s="4"/>
      <c r="E10" s="4"/>
      <c r="F10" s="10"/>
      <c r="G10" s="5"/>
      <c r="H10" s="28"/>
      <c r="I10" s="5"/>
      <c r="J10" s="27"/>
      <c r="K10" s="19"/>
      <c r="L10" s="20"/>
      <c r="M10" s="21"/>
      <c r="N10" s="13"/>
      <c r="O10" s="13"/>
    </row>
    <row r="11" spans="1:15" ht="18.75" x14ac:dyDescent="0.3">
      <c r="A11" s="4"/>
      <c r="B11" s="9"/>
      <c r="C11" s="12"/>
      <c r="D11" s="4"/>
      <c r="E11" s="4"/>
      <c r="F11" s="10"/>
      <c r="G11" s="5"/>
      <c r="H11" s="28"/>
      <c r="I11" s="5"/>
      <c r="J11" s="27"/>
      <c r="K11" s="19"/>
      <c r="L11" s="20"/>
      <c r="M11" s="21"/>
      <c r="N11" s="13"/>
      <c r="O11" s="13"/>
    </row>
    <row r="12" spans="1:15" ht="18.75" x14ac:dyDescent="0.3">
      <c r="A12" s="4"/>
      <c r="B12" s="9"/>
      <c r="C12" s="6"/>
      <c r="D12" s="4"/>
      <c r="E12" s="4"/>
      <c r="F12" s="10"/>
      <c r="G12" s="5"/>
      <c r="H12" s="28"/>
      <c r="I12" s="5"/>
      <c r="J12" s="27"/>
      <c r="K12" s="19"/>
      <c r="L12" s="20"/>
      <c r="M12" s="21"/>
      <c r="N12" s="13"/>
      <c r="O12" s="13"/>
    </row>
    <row r="13" spans="1:15" ht="18.75" x14ac:dyDescent="0.3">
      <c r="A13" s="4"/>
      <c r="B13" s="9"/>
      <c r="C13" s="6"/>
      <c r="D13" s="4"/>
      <c r="E13" s="4"/>
      <c r="F13" s="10"/>
      <c r="G13" s="5"/>
      <c r="H13" s="28"/>
      <c r="I13" s="5"/>
      <c r="J13" s="27"/>
      <c r="K13" s="19"/>
      <c r="L13" s="20"/>
      <c r="M13" s="21"/>
      <c r="N13" s="13"/>
      <c r="O13" s="13"/>
    </row>
    <row r="14" spans="1:15" ht="18.75" x14ac:dyDescent="0.3">
      <c r="A14" s="4"/>
      <c r="B14" s="9"/>
      <c r="C14" s="8"/>
      <c r="D14" s="4"/>
      <c r="E14" s="4"/>
      <c r="F14" s="10"/>
      <c r="G14" s="5"/>
      <c r="H14" s="28"/>
      <c r="I14" s="5"/>
      <c r="J14" s="27"/>
      <c r="K14" s="19"/>
      <c r="L14" s="20"/>
      <c r="M14" s="21"/>
      <c r="N14" s="13"/>
      <c r="O14" s="13"/>
    </row>
    <row r="15" spans="1:15" ht="18.75" x14ac:dyDescent="0.3">
      <c r="A15" s="4"/>
      <c r="B15" s="9"/>
      <c r="C15" s="6"/>
      <c r="D15" s="4"/>
      <c r="E15" s="4"/>
      <c r="F15" s="10"/>
      <c r="G15" s="5"/>
      <c r="H15" s="28"/>
      <c r="I15" s="5"/>
      <c r="J15" s="27"/>
      <c r="K15" s="19"/>
      <c r="L15" s="20"/>
      <c r="M15" s="21"/>
      <c r="N15" s="13"/>
      <c r="O15" s="13"/>
    </row>
    <row r="16" spans="1:15" ht="18.75" x14ac:dyDescent="0.3">
      <c r="A16" s="4"/>
      <c r="B16" s="9"/>
      <c r="C16" s="6"/>
      <c r="D16" s="4"/>
      <c r="E16" s="4"/>
      <c r="F16" s="10"/>
      <c r="G16" s="5"/>
      <c r="H16" s="28"/>
      <c r="I16" s="5"/>
      <c r="J16" s="27"/>
      <c r="K16" s="19"/>
      <c r="L16" s="20"/>
      <c r="M16" s="21"/>
      <c r="N16" s="13"/>
      <c r="O16" s="13"/>
    </row>
    <row r="17" spans="1:15" ht="18.75" x14ac:dyDescent="0.3">
      <c r="A17" s="4"/>
      <c r="B17" s="9"/>
      <c r="C17" s="6"/>
      <c r="D17" s="4"/>
      <c r="E17" s="4"/>
      <c r="F17" s="10"/>
      <c r="G17" s="5"/>
      <c r="H17" s="28"/>
      <c r="I17" s="5"/>
      <c r="J17" s="27"/>
      <c r="K17" s="19"/>
      <c r="L17" s="20"/>
      <c r="M17" s="21"/>
      <c r="N17" s="13"/>
      <c r="O17" s="13"/>
    </row>
    <row r="18" spans="1:15" ht="18.75" x14ac:dyDescent="0.3">
      <c r="A18" s="4"/>
      <c r="B18" s="9"/>
      <c r="C18" s="6"/>
      <c r="D18" s="4"/>
      <c r="E18" s="4"/>
      <c r="F18" s="10"/>
      <c r="G18" s="5"/>
      <c r="H18" s="28"/>
      <c r="I18" s="5"/>
      <c r="J18" s="27"/>
      <c r="K18" s="19"/>
      <c r="L18" s="20"/>
      <c r="M18" s="21"/>
      <c r="N18" s="13"/>
      <c r="O18" s="13"/>
    </row>
    <row r="19" spans="1:15" ht="18.75" x14ac:dyDescent="0.3">
      <c r="A19" s="4"/>
      <c r="B19" s="9"/>
      <c r="C19" s="6"/>
      <c r="D19" s="4"/>
      <c r="E19" s="4"/>
      <c r="F19" s="10"/>
      <c r="G19" s="5"/>
      <c r="H19" s="28"/>
      <c r="I19" s="5"/>
      <c r="J19" s="27"/>
      <c r="K19" s="19"/>
      <c r="L19" s="20"/>
      <c r="M19" s="21"/>
      <c r="N19" s="13"/>
      <c r="O19" s="13"/>
    </row>
    <row r="20" spans="1:15" ht="18.75" x14ac:dyDescent="0.3">
      <c r="A20" s="4"/>
      <c r="B20" s="9"/>
      <c r="C20" s="6"/>
      <c r="D20" s="4"/>
      <c r="E20" s="4"/>
      <c r="F20" s="10"/>
      <c r="G20" s="5"/>
      <c r="H20" s="28"/>
      <c r="I20" s="5"/>
      <c r="J20" s="27"/>
      <c r="K20" s="19"/>
      <c r="L20" s="20"/>
      <c r="M20" s="21"/>
      <c r="N20" s="13"/>
      <c r="O20" s="13"/>
    </row>
    <row r="21" spans="1:15" ht="18.75" x14ac:dyDescent="0.3">
      <c r="A21" s="4"/>
      <c r="B21" s="9"/>
      <c r="C21" s="6"/>
      <c r="D21" s="4"/>
      <c r="E21" s="4"/>
      <c r="F21" s="10"/>
      <c r="G21" s="5"/>
      <c r="H21" s="28"/>
      <c r="I21" s="5"/>
      <c r="J21" s="27"/>
      <c r="K21" s="19"/>
      <c r="L21" s="20"/>
      <c r="M21" s="21"/>
      <c r="N21" s="13"/>
      <c r="O21" s="13"/>
    </row>
    <row r="22" spans="1:15" ht="18.75" x14ac:dyDescent="0.3">
      <c r="A22" s="4"/>
      <c r="B22" s="9"/>
      <c r="C22" s="6"/>
      <c r="D22" s="4"/>
      <c r="E22" s="4"/>
      <c r="F22" s="10"/>
      <c r="G22" s="5"/>
      <c r="H22" s="28"/>
      <c r="I22" s="5"/>
      <c r="J22" s="27"/>
      <c r="K22" s="19"/>
      <c r="L22" s="20"/>
      <c r="M22" s="21"/>
      <c r="N22" s="13"/>
      <c r="O22" s="13"/>
    </row>
    <row r="23" spans="1:15" ht="18.75" x14ac:dyDescent="0.3">
      <c r="A23" s="4"/>
      <c r="B23" s="9"/>
      <c r="C23" s="6"/>
      <c r="D23" s="4"/>
      <c r="E23" s="4"/>
      <c r="F23" s="10"/>
      <c r="G23" s="5"/>
      <c r="H23" s="28"/>
      <c r="I23" s="5"/>
      <c r="J23" s="27"/>
      <c r="K23" s="19"/>
      <c r="L23" s="20"/>
      <c r="M23" s="21"/>
      <c r="N23" s="13"/>
      <c r="O23" s="13"/>
    </row>
    <row r="24" spans="1:15" ht="18.75" x14ac:dyDescent="0.3">
      <c r="A24" s="4"/>
      <c r="B24" s="9"/>
      <c r="C24" s="6"/>
      <c r="D24" s="4"/>
      <c r="E24" s="4"/>
      <c r="F24" s="10"/>
      <c r="G24" s="5"/>
      <c r="H24" s="28"/>
      <c r="I24" s="5"/>
      <c r="J24" s="27"/>
      <c r="K24" s="19"/>
      <c r="L24" s="20"/>
      <c r="M24" s="21"/>
      <c r="N24" s="13"/>
      <c r="O24" s="13"/>
    </row>
    <row r="25" spans="1:15" ht="18.75" x14ac:dyDescent="0.3">
      <c r="A25" s="4"/>
      <c r="B25" s="9"/>
      <c r="C25" s="6"/>
      <c r="D25" s="4"/>
      <c r="E25" s="4"/>
      <c r="F25" s="10"/>
      <c r="G25" s="5"/>
      <c r="H25" s="28"/>
      <c r="I25" s="5"/>
      <c r="J25" s="27"/>
      <c r="K25" s="19"/>
      <c r="L25" s="20"/>
      <c r="M25" s="21"/>
      <c r="N25" s="13"/>
      <c r="O25" s="13"/>
    </row>
    <row r="26" spans="1:15" ht="18.75" x14ac:dyDescent="0.3">
      <c r="A26" s="4"/>
      <c r="B26" s="9"/>
      <c r="C26" s="6"/>
      <c r="D26" s="4"/>
      <c r="E26" s="4"/>
      <c r="F26" s="10"/>
      <c r="G26" s="5"/>
      <c r="H26" s="28"/>
      <c r="I26" s="5"/>
      <c r="J26" s="27"/>
      <c r="K26" s="19"/>
      <c r="L26" s="20"/>
      <c r="M26" s="21"/>
      <c r="N26" s="13"/>
      <c r="O26" s="13"/>
    </row>
    <row r="27" spans="1:15" ht="18.75" x14ac:dyDescent="0.3">
      <c r="A27" s="4"/>
      <c r="B27" s="9"/>
      <c r="C27" s="6"/>
      <c r="D27" s="4"/>
      <c r="E27" s="4"/>
      <c r="F27" s="10"/>
      <c r="G27" s="5"/>
      <c r="H27" s="28"/>
      <c r="I27" s="5"/>
      <c r="J27" s="27"/>
      <c r="K27" s="19"/>
      <c r="L27" s="20"/>
      <c r="M27" s="21"/>
      <c r="N27" s="13"/>
      <c r="O27" s="13"/>
    </row>
    <row r="28" spans="1:15" ht="18.75" x14ac:dyDescent="0.3">
      <c r="A28" s="4"/>
      <c r="B28" s="9"/>
      <c r="C28" s="6"/>
      <c r="D28" s="4"/>
      <c r="E28" s="4"/>
      <c r="F28" s="10"/>
      <c r="G28" s="5"/>
      <c r="H28" s="28"/>
      <c r="I28" s="5"/>
      <c r="J28" s="27"/>
      <c r="K28" s="19"/>
      <c r="L28" s="20"/>
      <c r="M28" s="21"/>
      <c r="N28" s="13"/>
      <c r="O28" s="13"/>
    </row>
    <row r="29" spans="1:15" ht="18.75" x14ac:dyDescent="0.3">
      <c r="A29" s="4"/>
      <c r="B29" s="9"/>
      <c r="C29" s="6"/>
      <c r="D29" s="4"/>
      <c r="E29" s="4"/>
      <c r="F29" s="10"/>
      <c r="G29" s="5"/>
      <c r="H29" s="28"/>
      <c r="I29" s="5"/>
      <c r="J29" s="27"/>
      <c r="K29" s="19"/>
      <c r="L29" s="20"/>
      <c r="M29" s="21"/>
      <c r="N29" s="13"/>
      <c r="O29" s="13"/>
    </row>
    <row r="30" spans="1:15" ht="18.75" x14ac:dyDescent="0.3">
      <c r="A30" s="4"/>
      <c r="B30" s="9"/>
      <c r="C30" s="6"/>
      <c r="D30" s="4"/>
      <c r="E30" s="4"/>
      <c r="F30" s="10"/>
      <c r="G30" s="5"/>
      <c r="H30" s="28"/>
      <c r="I30" s="5"/>
      <c r="J30" s="27"/>
      <c r="K30" s="19"/>
      <c r="L30" s="20"/>
      <c r="M30" s="21"/>
      <c r="N30" s="13"/>
      <c r="O30" s="13"/>
    </row>
    <row r="31" spans="1:15" ht="18.75" x14ac:dyDescent="0.3">
      <c r="A31" s="4"/>
      <c r="B31" s="9"/>
      <c r="C31" s="6"/>
      <c r="D31" s="4"/>
      <c r="E31" s="4"/>
      <c r="F31" s="10"/>
      <c r="G31" s="5"/>
      <c r="H31" s="28"/>
      <c r="I31" s="5"/>
      <c r="J31" s="27"/>
      <c r="K31" s="19"/>
      <c r="L31" s="20"/>
      <c r="M31" s="21"/>
      <c r="N31" s="13"/>
      <c r="O31" s="13"/>
    </row>
    <row r="32" spans="1:15" ht="18.75" x14ac:dyDescent="0.3">
      <c r="A32" s="4"/>
      <c r="B32" s="9"/>
      <c r="C32" s="6"/>
      <c r="D32" s="4"/>
      <c r="E32" s="4"/>
      <c r="F32" s="10"/>
      <c r="G32" s="5"/>
      <c r="H32" s="28"/>
      <c r="I32" s="5"/>
      <c r="J32" s="27"/>
      <c r="K32" s="19"/>
      <c r="L32" s="20"/>
      <c r="M32" s="21"/>
      <c r="N32" s="13"/>
      <c r="O32" s="13"/>
    </row>
    <row r="33" spans="1:15" ht="18.75" x14ac:dyDescent="0.3">
      <c r="A33" s="4"/>
      <c r="B33" s="9"/>
      <c r="C33" s="6"/>
      <c r="D33" s="4"/>
      <c r="E33" s="4"/>
      <c r="F33" s="10"/>
      <c r="G33" s="5"/>
      <c r="H33" s="28"/>
      <c r="I33" s="5"/>
      <c r="J33" s="27"/>
      <c r="K33" s="19"/>
      <c r="L33" s="20"/>
      <c r="M33" s="21"/>
      <c r="N33" s="13"/>
      <c r="O33" s="13"/>
    </row>
    <row r="34" spans="1:15" ht="18.75" x14ac:dyDescent="0.3">
      <c r="A34" s="4"/>
      <c r="B34" s="9"/>
      <c r="C34" s="6"/>
      <c r="D34" s="4"/>
      <c r="E34" s="4"/>
      <c r="F34" s="10"/>
      <c r="G34" s="5"/>
      <c r="H34" s="28"/>
      <c r="I34" s="5"/>
      <c r="J34" s="27"/>
      <c r="K34" s="19"/>
      <c r="L34" s="20"/>
      <c r="M34" s="21"/>
      <c r="N34" s="13"/>
      <c r="O34" s="13"/>
    </row>
    <row r="35" spans="1:15" ht="18.75" x14ac:dyDescent="0.3">
      <c r="A35" s="4"/>
      <c r="B35" s="9"/>
      <c r="C35" s="6"/>
      <c r="D35" s="4"/>
      <c r="E35" s="4"/>
      <c r="F35" s="10"/>
      <c r="G35" s="5"/>
      <c r="H35" s="28"/>
      <c r="I35" s="5"/>
      <c r="J35" s="27"/>
      <c r="K35" s="19"/>
      <c r="L35" s="20"/>
      <c r="M35" s="21"/>
      <c r="N35" s="13"/>
      <c r="O35" s="13"/>
    </row>
    <row r="36" spans="1:15" ht="18.75" x14ac:dyDescent="0.3">
      <c r="A36" s="4"/>
      <c r="B36" s="9"/>
      <c r="C36" s="6"/>
      <c r="D36" s="4"/>
      <c r="E36" s="4"/>
      <c r="F36" s="10"/>
      <c r="G36" s="5"/>
      <c r="H36" s="28"/>
      <c r="I36" s="5"/>
      <c r="J36" s="27"/>
      <c r="K36" s="19"/>
      <c r="L36" s="20"/>
      <c r="M36" s="21"/>
      <c r="N36" s="13"/>
      <c r="O36" s="13"/>
    </row>
    <row r="37" spans="1:15" ht="18.75" x14ac:dyDescent="0.3">
      <c r="A37" s="4"/>
      <c r="B37" s="9"/>
      <c r="C37" s="6"/>
      <c r="D37" s="4"/>
      <c r="E37" s="4"/>
      <c r="F37" s="10"/>
      <c r="G37" s="5"/>
      <c r="H37" s="28"/>
      <c r="I37" s="5"/>
      <c r="J37" s="27"/>
      <c r="K37" s="19"/>
      <c r="L37" s="20"/>
      <c r="M37" s="21"/>
      <c r="N37" s="13"/>
      <c r="O37" s="13"/>
    </row>
    <row r="38" spans="1:15" ht="18.75" x14ac:dyDescent="0.3">
      <c r="A38" s="4"/>
      <c r="B38" s="9"/>
      <c r="C38" s="6"/>
      <c r="D38" s="4"/>
      <c r="E38" s="4"/>
      <c r="F38" s="10"/>
      <c r="G38" s="5"/>
      <c r="H38" s="28"/>
      <c r="I38" s="5"/>
      <c r="J38" s="27"/>
      <c r="K38" s="19"/>
      <c r="L38" s="20"/>
      <c r="M38" s="21"/>
      <c r="N38" s="13"/>
      <c r="O38" s="13"/>
    </row>
    <row r="39" spans="1:15" ht="18.75" x14ac:dyDescent="0.3">
      <c r="A39" s="4"/>
      <c r="B39" s="9"/>
      <c r="C39" s="6"/>
      <c r="D39" s="4"/>
      <c r="E39" s="4"/>
      <c r="F39" s="10"/>
      <c r="G39" s="5"/>
      <c r="H39" s="28"/>
      <c r="I39" s="5"/>
      <c r="J39" s="27"/>
      <c r="K39" s="19"/>
      <c r="L39" s="20"/>
      <c r="M39" s="21"/>
      <c r="N39" s="13"/>
      <c r="O39" s="13"/>
    </row>
    <row r="40" spans="1:15" ht="18.75" x14ac:dyDescent="0.3">
      <c r="A40" s="4"/>
      <c r="B40" s="9"/>
      <c r="C40" s="6"/>
      <c r="D40" s="4"/>
      <c r="E40" s="4"/>
      <c r="F40" s="10"/>
      <c r="G40" s="5"/>
      <c r="H40" s="28"/>
      <c r="I40" s="5"/>
      <c r="J40" s="27"/>
      <c r="K40" s="19"/>
      <c r="L40" s="20"/>
      <c r="M40" s="21"/>
      <c r="N40" s="13"/>
      <c r="O40" s="13"/>
    </row>
    <row r="41" spans="1:15" ht="18.75" x14ac:dyDescent="0.3">
      <c r="A41" s="4"/>
      <c r="B41" s="9"/>
      <c r="C41" s="6"/>
      <c r="D41" s="4"/>
      <c r="E41" s="4"/>
      <c r="F41" s="10"/>
      <c r="G41" s="5"/>
      <c r="H41" s="28"/>
      <c r="I41" s="5"/>
      <c r="J41" s="27"/>
      <c r="K41" s="19"/>
      <c r="L41" s="20"/>
      <c r="M41" s="21"/>
      <c r="N41" s="13"/>
      <c r="O41" s="13"/>
    </row>
    <row r="42" spans="1:15" ht="18.75" x14ac:dyDescent="0.3">
      <c r="A42" s="4"/>
      <c r="B42" s="9"/>
      <c r="C42" s="6"/>
      <c r="D42" s="4"/>
      <c r="E42" s="4"/>
      <c r="F42" s="10"/>
      <c r="G42" s="5"/>
      <c r="H42" s="28"/>
      <c r="I42" s="5"/>
      <c r="J42" s="27"/>
      <c r="K42" s="19"/>
      <c r="L42" s="20"/>
      <c r="M42" s="21"/>
      <c r="N42" s="13"/>
      <c r="O42" s="13"/>
    </row>
    <row r="43" spans="1:15" ht="19.5" thickBot="1" x14ac:dyDescent="0.35">
      <c r="A43" s="4"/>
      <c r="B43" s="9"/>
      <c r="C43" s="6"/>
      <c r="D43" s="4"/>
      <c r="E43" s="4"/>
      <c r="F43" s="10"/>
      <c r="G43" s="5"/>
      <c r="H43" s="28"/>
      <c r="I43" s="5"/>
      <c r="J43" s="27"/>
      <c r="K43" s="18"/>
      <c r="L43" s="20"/>
      <c r="M43" s="21"/>
      <c r="N43" s="13"/>
      <c r="O43" s="13"/>
    </row>
    <row r="44" spans="1:15" ht="21.75" thickBot="1" x14ac:dyDescent="0.4">
      <c r="A44" s="4"/>
      <c r="B44" s="9"/>
      <c r="C44" s="6"/>
      <c r="D44" s="4"/>
      <c r="E44" s="4"/>
      <c r="F44" s="10"/>
      <c r="G44" s="5"/>
      <c r="H44" s="28"/>
      <c r="I44" s="5"/>
      <c r="J44" s="27"/>
      <c r="K44" s="29">
        <f>SUM(K6:K43)</f>
        <v>2100</v>
      </c>
      <c r="L44" s="30">
        <f>SUM(L6:L43)</f>
        <v>8658</v>
      </c>
      <c r="M44" s="31">
        <f>SUM(M6:M43)</f>
        <v>1600</v>
      </c>
      <c r="N44" s="32">
        <f>+SUM(K44:L44)/M44</f>
        <v>6.7237499999999999</v>
      </c>
      <c r="O44" s="33">
        <f>+SUM(K44:L44)-M44</f>
        <v>9158</v>
      </c>
    </row>
    <row r="45" spans="1:15" ht="15.75" thickBot="1" x14ac:dyDescent="0.3">
      <c r="A45" s="4"/>
      <c r="B45" s="9"/>
      <c r="C45" s="6"/>
      <c r="D45" s="4"/>
      <c r="E45" s="4"/>
      <c r="F45" s="10"/>
      <c r="G45" s="5"/>
      <c r="H45" s="28"/>
      <c r="I45" s="5"/>
      <c r="J45" s="27"/>
      <c r="K45" s="16"/>
      <c r="L45" s="17"/>
      <c r="M45" s="17"/>
      <c r="N45" s="17"/>
      <c r="O45" s="17"/>
    </row>
    <row r="46" spans="1:15" x14ac:dyDescent="0.25">
      <c r="A46" s="4"/>
      <c r="B46" s="9"/>
      <c r="C46" s="6"/>
      <c r="D46" s="4"/>
      <c r="E46" s="4"/>
      <c r="F46" s="10"/>
      <c r="G46" s="5"/>
      <c r="H46" s="28"/>
      <c r="I46" s="5"/>
      <c r="J46" s="27"/>
    </row>
    <row r="47" spans="1:15" x14ac:dyDescent="0.25">
      <c r="A47" s="4"/>
      <c r="B47" s="9"/>
      <c r="C47" s="6"/>
      <c r="D47" s="4"/>
      <c r="E47" s="4"/>
      <c r="F47" s="10"/>
      <c r="G47" s="5"/>
      <c r="H47" s="28"/>
      <c r="I47" s="5"/>
      <c r="J47" s="27"/>
    </row>
    <row r="48" spans="1:15" x14ac:dyDescent="0.25">
      <c r="A48" s="4"/>
      <c r="B48" s="9"/>
      <c r="C48" s="6"/>
      <c r="D48" s="4"/>
      <c r="E48" s="4"/>
      <c r="F48" s="10"/>
      <c r="G48" s="5"/>
      <c r="H48" s="28"/>
      <c r="I48" s="5"/>
      <c r="J48" s="27"/>
    </row>
    <row r="49" spans="1:10" x14ac:dyDescent="0.25">
      <c r="A49" s="4"/>
      <c r="B49" s="9"/>
      <c r="C49" s="6"/>
      <c r="D49" s="4"/>
      <c r="E49" s="4"/>
      <c r="F49" s="10"/>
      <c r="G49" s="5"/>
      <c r="H49" s="28"/>
      <c r="I49" s="5"/>
      <c r="J49" s="27"/>
    </row>
    <row r="50" spans="1:10" x14ac:dyDescent="0.25">
      <c r="A50" s="4"/>
      <c r="B50" s="9"/>
      <c r="C50" s="6"/>
      <c r="D50" s="4"/>
      <c r="E50" s="4"/>
      <c r="F50" s="10"/>
      <c r="G50" s="5"/>
      <c r="H50" s="28"/>
      <c r="I50" s="5"/>
      <c r="J50" s="27"/>
    </row>
    <row r="51" spans="1:10" x14ac:dyDescent="0.25">
      <c r="A51" s="4"/>
      <c r="B51" s="9"/>
      <c r="C51" s="6"/>
      <c r="D51" s="4"/>
      <c r="E51" s="4"/>
      <c r="F51" s="10"/>
      <c r="G51" s="5"/>
      <c r="H51" s="28"/>
      <c r="I51" s="5"/>
      <c r="J51" s="27"/>
    </row>
    <row r="52" spans="1:10" x14ac:dyDescent="0.25">
      <c r="A52" s="4"/>
      <c r="B52" s="9"/>
      <c r="C52" s="6"/>
      <c r="D52" s="4"/>
      <c r="E52" s="4"/>
      <c r="F52" s="10">
        <f>SUM(F2:F51)</f>
        <v>2.7</v>
      </c>
      <c r="G52" s="5"/>
      <c r="H52" s="28"/>
      <c r="I52" s="5"/>
      <c r="J52" s="27"/>
    </row>
  </sheetData>
  <mergeCells count="1">
    <mergeCell ref="K2:O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>
                  <from>
                    <xdr:col>15</xdr:col>
                    <xdr:colOff>95250</xdr:colOff>
                    <xdr:row>1</xdr:row>
                    <xdr:rowOff>19050</xdr:rowOff>
                  </from>
                  <to>
                    <xdr:col>18</xdr:col>
                    <xdr:colOff>247650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2_Click">
                <anchor moveWithCells="1">
                  <from>
                    <xdr:col>15</xdr:col>
                    <xdr:colOff>104775</xdr:colOff>
                    <xdr:row>3</xdr:row>
                    <xdr:rowOff>133350</xdr:rowOff>
                  </from>
                  <to>
                    <xdr:col>18</xdr:col>
                    <xdr:colOff>257175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Button3_Click">
                <anchor moveWithCells="1">
                  <from>
                    <xdr:col>15</xdr:col>
                    <xdr:colOff>104775</xdr:colOff>
                    <xdr:row>5</xdr:row>
                    <xdr:rowOff>85725</xdr:rowOff>
                  </from>
                  <to>
                    <xdr:col>18</xdr:col>
                    <xdr:colOff>266700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utton4_Click">
                <anchor moveWithCells="1">
                  <from>
                    <xdr:col>15</xdr:col>
                    <xdr:colOff>104775</xdr:colOff>
                    <xdr:row>7</xdr:row>
                    <xdr:rowOff>57150</xdr:rowOff>
                  </from>
                  <to>
                    <xdr:col>18</xdr:col>
                    <xdr:colOff>276225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Button1_Click">
                <anchor moveWithCells="1">
                  <from>
                    <xdr:col>15</xdr:col>
                    <xdr:colOff>85725</xdr:colOff>
                    <xdr:row>9</xdr:row>
                    <xdr:rowOff>38100</xdr:rowOff>
                  </from>
                  <to>
                    <xdr:col>18</xdr:col>
                    <xdr:colOff>295275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Show_Form">
                <anchor moveWithCells="1">
                  <from>
                    <xdr:col>15</xdr:col>
                    <xdr:colOff>171450</xdr:colOff>
                    <xdr:row>20</xdr:row>
                    <xdr:rowOff>133350</xdr:rowOff>
                  </from>
                  <to>
                    <xdr:col>18</xdr:col>
                    <xdr:colOff>447675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50"/>
  </sheetPr>
  <dimension ref="A2:Y44"/>
  <sheetViews>
    <sheetView showGridLines="0" showRowColHeaders="0" workbookViewId="0">
      <selection activeCell="Q18" sqref="Q18:Q19"/>
    </sheetView>
  </sheetViews>
  <sheetFormatPr defaultRowHeight="15" x14ac:dyDescent="0.25"/>
  <cols>
    <col min="3" max="3" width="19.7109375" customWidth="1"/>
    <col min="4" max="4" width="15.140625" customWidth="1"/>
    <col min="5" max="5" width="17" customWidth="1"/>
    <col min="6" max="6" width="11.28515625" customWidth="1"/>
  </cols>
  <sheetData>
    <row r="2" spans="1:25" x14ac:dyDescent="0.2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</row>
    <row r="3" spans="1:25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</row>
    <row r="4" spans="1:25" ht="35.25" customHeight="1" x14ac:dyDescent="0.25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</row>
    <row r="5" spans="1:25" ht="27.75" customHeight="1" x14ac:dyDescent="0.25">
      <c r="A5" s="36"/>
      <c r="B5" s="36"/>
      <c r="C5" s="37" t="s">
        <v>16</v>
      </c>
      <c r="D5" s="38" t="s">
        <v>3</v>
      </c>
      <c r="E5" s="39" t="s">
        <v>17</v>
      </c>
      <c r="F5" s="40"/>
      <c r="G5" s="40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36"/>
      <c r="W5" s="36"/>
      <c r="X5" s="36"/>
      <c r="Y5" s="36"/>
    </row>
    <row r="6" spans="1:25" x14ac:dyDescent="0.25">
      <c r="A6" s="36"/>
      <c r="B6" s="36"/>
      <c r="C6" s="40">
        <v>200</v>
      </c>
      <c r="D6" s="40">
        <v>2</v>
      </c>
      <c r="E6" s="40">
        <v>1000</v>
      </c>
      <c r="F6" s="46">
        <v>0.3</v>
      </c>
      <c r="G6" s="40"/>
      <c r="H6" s="44"/>
      <c r="I6" s="45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36"/>
      <c r="W6" s="36"/>
      <c r="X6" s="36"/>
      <c r="Y6" s="36"/>
    </row>
    <row r="7" spans="1:25" x14ac:dyDescent="0.25">
      <c r="A7" s="36"/>
      <c r="B7" s="36"/>
      <c r="C7" s="40"/>
      <c r="D7" s="40"/>
      <c r="E7" s="40">
        <v>1000</v>
      </c>
      <c r="F7" s="40"/>
      <c r="G7" s="40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36"/>
      <c r="W7" s="36"/>
      <c r="X7" s="36"/>
      <c r="Y7" s="36"/>
    </row>
    <row r="8" spans="1:25" x14ac:dyDescent="0.25">
      <c r="A8" s="36"/>
      <c r="B8" s="36"/>
      <c r="C8" s="40"/>
      <c r="D8" s="40"/>
      <c r="E8" s="40">
        <v>1000</v>
      </c>
      <c r="F8" s="40"/>
      <c r="G8" s="40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36"/>
      <c r="W8" s="36"/>
      <c r="X8" s="36"/>
      <c r="Y8" s="36"/>
    </row>
    <row r="9" spans="1:25" x14ac:dyDescent="0.25">
      <c r="A9" s="36"/>
      <c r="B9" s="36"/>
      <c r="C9" s="40"/>
      <c r="D9" s="40"/>
      <c r="E9" s="40"/>
      <c r="F9" s="40"/>
      <c r="G9" s="40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36"/>
      <c r="W9" s="36"/>
      <c r="X9" s="36"/>
      <c r="Y9" s="36"/>
    </row>
    <row r="10" spans="1:25" x14ac:dyDescent="0.25">
      <c r="A10" s="36"/>
      <c r="B10" s="36"/>
      <c r="C10" s="40"/>
      <c r="D10" s="41"/>
      <c r="E10" s="40"/>
      <c r="F10" s="40"/>
      <c r="G10" s="40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36"/>
      <c r="W10" s="36"/>
      <c r="X10" s="36"/>
      <c r="Y10" s="36"/>
    </row>
    <row r="11" spans="1:25" x14ac:dyDescent="0.25">
      <c r="A11" s="36"/>
      <c r="B11" s="36"/>
      <c r="C11" s="40"/>
      <c r="D11" s="40"/>
      <c r="E11" s="40"/>
      <c r="F11" s="40"/>
      <c r="G11" s="40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6"/>
      <c r="W11" s="36"/>
      <c r="X11" s="36"/>
      <c r="Y11" s="36"/>
    </row>
    <row r="12" spans="1:25" x14ac:dyDescent="0.25">
      <c r="A12" s="36"/>
      <c r="B12" s="36"/>
      <c r="C12" s="40"/>
      <c r="D12" s="40"/>
      <c r="E12" s="40"/>
      <c r="F12" s="40"/>
      <c r="G12" s="40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36"/>
      <c r="W12" s="36"/>
      <c r="X12" s="36"/>
      <c r="Y12" s="36"/>
    </row>
    <row r="13" spans="1:25" x14ac:dyDescent="0.25">
      <c r="A13" s="36"/>
      <c r="B13" s="36"/>
      <c r="C13" s="40"/>
      <c r="D13" s="40"/>
      <c r="E13" s="40"/>
      <c r="F13" s="40"/>
      <c r="G13" s="40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6"/>
      <c r="W13" s="36"/>
      <c r="X13" s="36"/>
      <c r="Y13" s="36"/>
    </row>
    <row r="14" spans="1:25" x14ac:dyDescent="0.25">
      <c r="A14" s="36"/>
      <c r="B14" s="36"/>
      <c r="C14" s="40"/>
      <c r="D14" s="40"/>
      <c r="E14" s="40"/>
      <c r="F14" s="40"/>
      <c r="G14" s="40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36"/>
      <c r="W14" s="36"/>
      <c r="X14" s="36"/>
      <c r="Y14" s="36"/>
    </row>
    <row r="15" spans="1:25" x14ac:dyDescent="0.25">
      <c r="A15" s="36"/>
      <c r="B15" s="36"/>
      <c r="C15" s="40"/>
      <c r="D15" s="40"/>
      <c r="E15" s="40"/>
      <c r="F15" s="40"/>
      <c r="G15" s="40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36"/>
      <c r="W15" s="36"/>
      <c r="X15" s="36"/>
      <c r="Y15" s="36"/>
    </row>
    <row r="16" spans="1:25" x14ac:dyDescent="0.25">
      <c r="A16" s="36"/>
      <c r="B16" s="36"/>
      <c r="C16" s="40"/>
      <c r="D16" s="40"/>
      <c r="E16" s="40"/>
      <c r="F16" s="40"/>
      <c r="G16" s="40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36"/>
      <c r="W16" s="36"/>
      <c r="X16" s="36"/>
      <c r="Y16" s="36"/>
    </row>
    <row r="17" spans="1:25" x14ac:dyDescent="0.25">
      <c r="A17" s="36"/>
      <c r="B17" s="36"/>
      <c r="C17" s="40"/>
      <c r="D17" s="40"/>
      <c r="E17" s="40"/>
      <c r="F17" s="40"/>
      <c r="G17" s="40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36"/>
      <c r="W17" s="36"/>
      <c r="X17" s="36"/>
      <c r="Y17" s="36"/>
    </row>
    <row r="18" spans="1:25" x14ac:dyDescent="0.25">
      <c r="A18" s="36"/>
      <c r="B18" s="36"/>
      <c r="C18" s="40"/>
      <c r="D18" s="40"/>
      <c r="E18" s="40"/>
      <c r="F18" s="40"/>
      <c r="G18" s="40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36"/>
      <c r="W18" s="36"/>
      <c r="X18" s="36"/>
      <c r="Y18" s="36"/>
    </row>
    <row r="19" spans="1:25" x14ac:dyDescent="0.25">
      <c r="A19" s="36"/>
      <c r="B19" s="36"/>
      <c r="C19" s="40"/>
      <c r="D19" s="40"/>
      <c r="E19" s="40"/>
      <c r="F19" s="40"/>
      <c r="G19" s="40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36"/>
      <c r="W19" s="36"/>
      <c r="X19" s="36"/>
      <c r="Y19" s="36"/>
    </row>
    <row r="20" spans="1:25" x14ac:dyDescent="0.25">
      <c r="A20" s="36"/>
      <c r="B20" s="36"/>
      <c r="C20" s="40"/>
      <c r="D20" s="40"/>
      <c r="E20" s="40"/>
      <c r="F20" s="40"/>
      <c r="G20" s="40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36"/>
      <c r="W20" s="36"/>
      <c r="X20" s="36"/>
      <c r="Y20" s="36"/>
    </row>
    <row r="21" spans="1:25" x14ac:dyDescent="0.25">
      <c r="A21" s="36"/>
      <c r="B21" s="36"/>
      <c r="C21" s="40"/>
      <c r="D21" s="40"/>
      <c r="E21" s="40"/>
      <c r="F21" s="40"/>
      <c r="G21" s="40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36"/>
      <c r="W21" s="36"/>
      <c r="X21" s="36"/>
      <c r="Y21" s="36"/>
    </row>
    <row r="22" spans="1:25" x14ac:dyDescent="0.25">
      <c r="A22" s="36"/>
      <c r="B22" s="36"/>
      <c r="C22" s="40"/>
      <c r="D22" s="40"/>
      <c r="E22" s="40"/>
      <c r="F22" s="40"/>
      <c r="G22" s="40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36"/>
      <c r="W22" s="36"/>
      <c r="X22" s="36"/>
      <c r="Y22" s="36"/>
    </row>
    <row r="23" spans="1:25" x14ac:dyDescent="0.25">
      <c r="A23" s="36"/>
      <c r="B23" s="36"/>
      <c r="C23" s="40"/>
      <c r="D23" s="40"/>
      <c r="E23" s="40"/>
      <c r="F23" s="40"/>
      <c r="G23" s="40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36"/>
      <c r="W23" s="36"/>
      <c r="X23" s="36"/>
      <c r="Y23" s="36"/>
    </row>
    <row r="24" spans="1:25" x14ac:dyDescent="0.25">
      <c r="A24" s="36"/>
      <c r="B24" s="36"/>
      <c r="C24" s="40"/>
      <c r="D24" s="40"/>
      <c r="E24" s="40"/>
      <c r="F24" s="40"/>
      <c r="G24" s="40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</row>
    <row r="25" spans="1:25" x14ac:dyDescent="0.25">
      <c r="A25" s="36"/>
      <c r="B25" s="36"/>
      <c r="C25" s="40"/>
      <c r="D25" s="40"/>
      <c r="E25" s="40"/>
      <c r="F25" s="40"/>
      <c r="G25" s="40"/>
      <c r="H25" s="36"/>
      <c r="I25" s="36"/>
      <c r="J25" s="36"/>
      <c r="K25" s="36"/>
      <c r="L25" s="36"/>
      <c r="M25" s="36"/>
      <c r="N25" s="60">
        <f>NPV(F6,E6:E43)</f>
        <v>1816.1128812016382</v>
      </c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</row>
    <row r="26" spans="1:25" x14ac:dyDescent="0.25">
      <c r="A26" s="36"/>
      <c r="B26" s="36"/>
      <c r="C26" s="40"/>
      <c r="D26" s="40"/>
      <c r="E26" s="40"/>
      <c r="F26" s="40"/>
      <c r="G26" s="40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</row>
    <row r="27" spans="1:25" x14ac:dyDescent="0.25">
      <c r="A27" s="36"/>
      <c r="B27" s="36"/>
      <c r="C27" s="40"/>
      <c r="D27" s="40"/>
      <c r="E27" s="40"/>
      <c r="F27" s="40"/>
      <c r="G27" s="40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</row>
    <row r="28" spans="1:25" x14ac:dyDescent="0.25">
      <c r="A28" s="36"/>
      <c r="B28" s="36"/>
      <c r="C28" s="40"/>
      <c r="D28" s="40"/>
      <c r="E28" s="40"/>
      <c r="F28" s="40"/>
      <c r="G28" s="40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</row>
    <row r="29" spans="1:25" x14ac:dyDescent="0.25">
      <c r="A29" s="36"/>
      <c r="B29" s="36"/>
      <c r="C29" s="40"/>
      <c r="D29" s="40"/>
      <c r="E29" s="40"/>
      <c r="F29" s="40"/>
      <c r="G29" s="40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spans="1:25" x14ac:dyDescent="0.25">
      <c r="A30" s="36"/>
      <c r="B30" s="36"/>
      <c r="C30" s="40"/>
      <c r="D30" s="40"/>
      <c r="E30" s="40"/>
      <c r="F30" s="40"/>
      <c r="G30" s="40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</row>
    <row r="31" spans="1:25" x14ac:dyDescent="0.25">
      <c r="A31" s="36"/>
      <c r="B31" s="36"/>
      <c r="C31" s="40"/>
      <c r="D31" s="40"/>
      <c r="E31" s="40"/>
      <c r="F31" s="40"/>
      <c r="G31" s="40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</row>
    <row r="32" spans="1:25" x14ac:dyDescent="0.25">
      <c r="A32" s="36"/>
      <c r="B32" s="36"/>
      <c r="C32" s="40"/>
      <c r="D32" s="40"/>
      <c r="E32" s="40"/>
      <c r="F32" s="40"/>
      <c r="G32" s="40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</row>
    <row r="33" spans="1:25" x14ac:dyDescent="0.25">
      <c r="A33" s="36"/>
      <c r="B33" s="36"/>
      <c r="C33" s="40"/>
      <c r="D33" s="40"/>
      <c r="E33" s="40"/>
      <c r="F33" s="40"/>
      <c r="G33" s="40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</row>
    <row r="34" spans="1:25" x14ac:dyDescent="0.25">
      <c r="A34" s="36"/>
      <c r="B34" s="36"/>
      <c r="C34" s="40"/>
      <c r="D34" s="40"/>
      <c r="E34" s="40"/>
      <c r="F34" s="40"/>
      <c r="G34" s="40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</row>
    <row r="35" spans="1:25" x14ac:dyDescent="0.25">
      <c r="A35" s="36"/>
      <c r="B35" s="36"/>
      <c r="C35" s="40"/>
      <c r="D35" s="40"/>
      <c r="E35" s="40"/>
      <c r="F35" s="40"/>
      <c r="G35" s="40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</row>
    <row r="36" spans="1:25" x14ac:dyDescent="0.25">
      <c r="A36" s="36"/>
      <c r="B36" s="36"/>
      <c r="C36" s="40"/>
      <c r="D36" s="40"/>
      <c r="E36" s="40"/>
      <c r="F36" s="40"/>
      <c r="G36" s="40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</row>
    <row r="37" spans="1:25" x14ac:dyDescent="0.25">
      <c r="A37" s="36"/>
      <c r="B37" s="36"/>
      <c r="C37" s="40"/>
      <c r="D37" s="40"/>
      <c r="E37" s="40"/>
      <c r="F37" s="40"/>
      <c r="G37" s="40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</row>
    <row r="38" spans="1:25" x14ac:dyDescent="0.25">
      <c r="A38" s="36"/>
      <c r="B38" s="36"/>
      <c r="C38" s="40"/>
      <c r="D38" s="40"/>
      <c r="E38" s="40"/>
      <c r="F38" s="40"/>
      <c r="G38" s="40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</row>
    <row r="39" spans="1:25" x14ac:dyDescent="0.25">
      <c r="A39" s="36"/>
      <c r="B39" s="36"/>
      <c r="C39" s="40"/>
      <c r="D39" s="40"/>
      <c r="E39" s="40"/>
      <c r="F39" s="40"/>
      <c r="G39" s="40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</row>
    <row r="40" spans="1:25" x14ac:dyDescent="0.25">
      <c r="A40" s="36"/>
      <c r="B40" s="36"/>
      <c r="C40" s="40"/>
      <c r="D40" s="40"/>
      <c r="E40" s="40"/>
      <c r="F40" s="40"/>
      <c r="G40" s="40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</row>
    <row r="41" spans="1:25" x14ac:dyDescent="0.25">
      <c r="A41" s="36"/>
      <c r="B41" s="36"/>
      <c r="C41" s="40"/>
      <c r="D41" s="40"/>
      <c r="E41" s="40"/>
      <c r="F41" s="40"/>
      <c r="G41" s="40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</row>
    <row r="42" spans="1:25" x14ac:dyDescent="0.25">
      <c r="A42" s="36"/>
      <c r="B42" s="36"/>
      <c r="C42" s="40"/>
      <c r="D42" s="40"/>
      <c r="E42" s="40"/>
      <c r="F42" s="40"/>
      <c r="G42" s="40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</row>
    <row r="43" spans="1:25" x14ac:dyDescent="0.25">
      <c r="A43" s="36"/>
      <c r="B43" s="36"/>
      <c r="C43" s="40"/>
      <c r="D43" s="42"/>
      <c r="E43" s="40"/>
      <c r="F43" s="40"/>
      <c r="G43" s="40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</row>
    <row r="44" spans="1:25" x14ac:dyDescent="0.25">
      <c r="A44" s="36"/>
      <c r="B44" s="36"/>
      <c r="C44" s="40">
        <f>SUM(C6:C43)</f>
        <v>200</v>
      </c>
      <c r="D44" s="43">
        <f>SUM(D6:D43)/0.42</f>
        <v>4.7619047619047619</v>
      </c>
      <c r="E44" s="39">
        <f>SUM(C44*D44)</f>
        <v>952.38095238095241</v>
      </c>
      <c r="F44" s="40"/>
      <c r="G44" s="40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4" r:id="rId4" name="CommandButton1">
          <controlPr autoLine="0" r:id="rId5">
            <anchor moveWithCells="1">
              <from>
                <xdr:col>12</xdr:col>
                <xdr:colOff>419100</xdr:colOff>
                <xdr:row>4</xdr:row>
                <xdr:rowOff>66675</xdr:rowOff>
              </from>
              <to>
                <xdr:col>16</xdr:col>
                <xdr:colOff>333375</xdr:colOff>
                <xdr:row>5</xdr:row>
                <xdr:rowOff>19050</xdr:rowOff>
              </to>
            </anchor>
          </controlPr>
        </control>
      </mc:Choice>
      <mc:Fallback>
        <control shapeId="3084" r:id="rId4" name="CommandButton1"/>
      </mc:Fallback>
    </mc:AlternateContent>
    <mc:AlternateContent xmlns:mc="http://schemas.openxmlformats.org/markup-compatibility/2006">
      <mc:Choice Requires="x14">
        <control shapeId="3085" r:id="rId6" name="ComboBox1">
          <controlPr autoLine="0" r:id="rId7">
            <anchor moveWithCells="1">
              <from>
                <xdr:col>12</xdr:col>
                <xdr:colOff>438150</xdr:colOff>
                <xdr:row>6</xdr:row>
                <xdr:rowOff>76200</xdr:rowOff>
              </from>
              <to>
                <xdr:col>16</xdr:col>
                <xdr:colOff>400050</xdr:colOff>
                <xdr:row>7</xdr:row>
                <xdr:rowOff>171450</xdr:rowOff>
              </to>
            </anchor>
          </controlPr>
        </control>
      </mc:Choice>
      <mc:Fallback>
        <control shapeId="3085" r:id="rId6" name="ComboBox1"/>
      </mc:Fallback>
    </mc:AlternateContent>
    <mc:AlternateContent xmlns:mc="http://schemas.openxmlformats.org/markup-compatibility/2006">
      <mc:Choice Requires="x14">
        <control shapeId="3087" r:id="rId8" name="ComboBox2">
          <controlPr autoLine="0" r:id="rId7">
            <anchor moveWithCells="1">
              <from>
                <xdr:col>12</xdr:col>
                <xdr:colOff>428625</xdr:colOff>
                <xdr:row>9</xdr:row>
                <xdr:rowOff>28575</xdr:rowOff>
              </from>
              <to>
                <xdr:col>16</xdr:col>
                <xdr:colOff>390525</xdr:colOff>
                <xdr:row>10</xdr:row>
                <xdr:rowOff>123825</xdr:rowOff>
              </to>
            </anchor>
          </controlPr>
        </control>
      </mc:Choice>
      <mc:Fallback>
        <control shapeId="3087" r:id="rId8" name="ComboBox2"/>
      </mc:Fallback>
    </mc:AlternateContent>
    <mc:AlternateContent xmlns:mc="http://schemas.openxmlformats.org/markup-compatibility/2006">
      <mc:Choice Requires="x14">
        <control shapeId="3089" r:id="rId9" name="ComboBox3">
          <controlPr autoLine="0" r:id="rId7">
            <anchor moveWithCells="1">
              <from>
                <xdr:col>12</xdr:col>
                <xdr:colOff>409575</xdr:colOff>
                <xdr:row>12</xdr:row>
                <xdr:rowOff>57150</xdr:rowOff>
              </from>
              <to>
                <xdr:col>16</xdr:col>
                <xdr:colOff>371475</xdr:colOff>
                <xdr:row>13</xdr:row>
                <xdr:rowOff>152400</xdr:rowOff>
              </to>
            </anchor>
          </controlPr>
        </control>
      </mc:Choice>
      <mc:Fallback>
        <control shapeId="3089" r:id="rId9" name="ComboBox3"/>
      </mc:Fallback>
    </mc:AlternateContent>
    <mc:AlternateContent xmlns:mc="http://schemas.openxmlformats.org/markup-compatibility/2006">
      <mc:Choice Requires="x14">
        <control shapeId="3073" r:id="rId10" name="Button 1">
          <controlPr defaultSize="0" print="0" autoFill="0" autoPict="0" macro="[0]!Show_Form">
            <anchor moveWithCells="1">
              <from>
                <xdr:col>7</xdr:col>
                <xdr:colOff>523875</xdr:colOff>
                <xdr:row>4</xdr:row>
                <xdr:rowOff>28575</xdr:rowOff>
              </from>
              <to>
                <xdr:col>11</xdr:col>
                <xdr:colOff>381000</xdr:colOff>
                <xdr:row>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11" name="Button 4">
          <controlPr defaultSize="0" print="0" autoFill="0" autoPict="0" macro="[0]!Submit">
            <anchor moveWithCells="1">
              <from>
                <xdr:col>7</xdr:col>
                <xdr:colOff>504825</xdr:colOff>
                <xdr:row>6</xdr:row>
                <xdr:rowOff>0</xdr:rowOff>
              </from>
              <to>
                <xdr:col>11</xdr:col>
                <xdr:colOff>361950</xdr:colOff>
                <xdr:row>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8" r:id="rId12" name="Button 6">
          <controlPr defaultSize="0" print="0" autoFill="0" autoPict="0" macro="[0]!Button1_Click">
            <anchor moveWithCells="1">
              <from>
                <xdr:col>7</xdr:col>
                <xdr:colOff>504825</xdr:colOff>
                <xdr:row>9</xdr:row>
                <xdr:rowOff>0</xdr:rowOff>
              </from>
              <to>
                <xdr:col>11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3" name="Button 8">
          <controlPr defaultSize="0" print="0" autoFill="0" autoPict="0" macro="[0]!Show_Form">
            <anchor moveWithCells="1">
              <from>
                <xdr:col>7</xdr:col>
                <xdr:colOff>504825</xdr:colOff>
                <xdr:row>12</xdr:row>
                <xdr:rowOff>28575</xdr:rowOff>
              </from>
              <to>
                <xdr:col>11</xdr:col>
                <xdr:colOff>361950</xdr:colOff>
                <xdr:row>13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14" name="Button 9">
          <controlPr defaultSize="0" print="0" autoFill="0" autoPict="0" macro="[0]!Button2_Click">
            <anchor moveWithCells="1">
              <from>
                <xdr:col>7</xdr:col>
                <xdr:colOff>514350</xdr:colOff>
                <xdr:row>15</xdr:row>
                <xdr:rowOff>47625</xdr:rowOff>
              </from>
              <to>
                <xdr:col>11</xdr:col>
                <xdr:colOff>371475</xdr:colOff>
                <xdr:row>16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15" name="Button 11">
          <controlPr defaultSize="0" print="0" autoFill="0" autoPict="0" macro="[0]!Button2_Click">
            <anchor moveWithCells="1">
              <from>
                <xdr:col>7</xdr:col>
                <xdr:colOff>476250</xdr:colOff>
                <xdr:row>18</xdr:row>
                <xdr:rowOff>152400</xdr:rowOff>
              </from>
              <to>
                <xdr:col>11</xdr:col>
                <xdr:colOff>333375</xdr:colOff>
                <xdr:row>20</xdr:row>
                <xdr:rowOff>95250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B2:J19"/>
  <sheetViews>
    <sheetView showRowColHeaders="0"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J24" sqref="J24"/>
    </sheetView>
  </sheetViews>
  <sheetFormatPr defaultRowHeight="15" x14ac:dyDescent="0.25"/>
  <cols>
    <col min="1" max="1" width="3.42578125" customWidth="1"/>
    <col min="2" max="2" width="11" customWidth="1"/>
    <col min="3" max="3" width="14.85546875" customWidth="1"/>
    <col min="4" max="4" width="18.85546875" customWidth="1"/>
    <col min="5" max="5" width="14.7109375" customWidth="1"/>
    <col min="6" max="6" width="2.42578125" customWidth="1"/>
    <col min="8" max="8" width="15.42578125" customWidth="1"/>
    <col min="9" max="9" width="20" customWidth="1"/>
    <col min="10" max="10" width="15.42578125" customWidth="1"/>
  </cols>
  <sheetData>
    <row r="2" spans="2:10" x14ac:dyDescent="0.25">
      <c r="B2" s="47"/>
      <c r="C2" s="47"/>
      <c r="D2" s="47"/>
      <c r="E2" s="47"/>
      <c r="F2" s="47"/>
      <c r="G2" s="47"/>
      <c r="H2" s="47"/>
      <c r="I2" s="47"/>
      <c r="J2" s="47"/>
    </row>
    <row r="3" spans="2:10" ht="15.75" thickBot="1" x14ac:dyDescent="0.3">
      <c r="B3" s="51" t="s">
        <v>28</v>
      </c>
      <c r="C3" s="51"/>
      <c r="D3" s="50"/>
      <c r="E3" s="50"/>
      <c r="F3" s="50"/>
      <c r="G3" s="83" t="s">
        <v>29</v>
      </c>
      <c r="H3" s="83"/>
      <c r="I3" s="83"/>
      <c r="J3" s="83"/>
    </row>
    <row r="4" spans="2:10" ht="15.75" thickTop="1" x14ac:dyDescent="0.25">
      <c r="B4" s="47"/>
      <c r="C4" s="47"/>
      <c r="D4" s="47"/>
      <c r="E4" s="47"/>
      <c r="F4" s="47"/>
      <c r="G4" s="47"/>
      <c r="H4" s="47"/>
      <c r="I4" s="47"/>
      <c r="J4" s="47"/>
    </row>
    <row r="5" spans="2:10" x14ac:dyDescent="0.25">
      <c r="B5" s="47"/>
      <c r="C5" s="47"/>
      <c r="D5" s="47"/>
      <c r="E5" s="47"/>
      <c r="F5" s="47"/>
      <c r="G5" s="47"/>
      <c r="H5" s="47"/>
      <c r="I5" s="47"/>
      <c r="J5" s="47"/>
    </row>
    <row r="6" spans="2:10" x14ac:dyDescent="0.25">
      <c r="B6" s="47"/>
      <c r="C6" s="47"/>
      <c r="D6" s="47"/>
      <c r="E6" s="47"/>
      <c r="F6" s="47"/>
      <c r="G6" s="47"/>
      <c r="H6" s="47"/>
      <c r="I6" s="47"/>
      <c r="J6" s="47"/>
    </row>
    <row r="7" spans="2:10" x14ac:dyDescent="0.25">
      <c r="B7" s="47"/>
      <c r="C7" s="47"/>
      <c r="D7" s="47"/>
      <c r="E7" s="47"/>
      <c r="F7" s="47"/>
      <c r="G7" s="47"/>
      <c r="H7" s="47"/>
      <c r="I7" s="47"/>
      <c r="J7" s="47"/>
    </row>
    <row r="8" spans="2:10" x14ac:dyDescent="0.25">
      <c r="B8" s="47"/>
      <c r="C8" s="47"/>
      <c r="D8" s="47"/>
      <c r="E8" s="47"/>
      <c r="F8" s="47"/>
      <c r="G8" s="47"/>
      <c r="H8" s="47"/>
      <c r="I8" s="47"/>
      <c r="J8" s="47"/>
    </row>
    <row r="9" spans="2:10" x14ac:dyDescent="0.25">
      <c r="B9" s="47"/>
      <c r="C9" s="47"/>
      <c r="D9" s="47"/>
      <c r="E9" s="47"/>
      <c r="F9" s="47"/>
      <c r="G9" s="47"/>
      <c r="H9" s="47"/>
      <c r="I9" s="47"/>
      <c r="J9" s="47"/>
    </row>
    <row r="10" spans="2:10" x14ac:dyDescent="0.25">
      <c r="B10" s="48"/>
      <c r="C10" s="48"/>
      <c r="D10" s="48"/>
      <c r="E10" s="48"/>
      <c r="F10" s="48"/>
      <c r="G10" s="48"/>
      <c r="H10" s="48"/>
      <c r="I10" s="48"/>
      <c r="J10" s="48"/>
    </row>
    <row r="11" spans="2:10" x14ac:dyDescent="0.25">
      <c r="F11" s="49"/>
    </row>
    <row r="12" spans="2:10" x14ac:dyDescent="0.25">
      <c r="B12" s="54" t="s">
        <v>19</v>
      </c>
      <c r="C12" s="54" t="s">
        <v>21</v>
      </c>
      <c r="D12" s="54" t="s">
        <v>26</v>
      </c>
      <c r="E12" s="54" t="s">
        <v>20</v>
      </c>
      <c r="G12" s="52" t="s">
        <v>19</v>
      </c>
      <c r="H12" s="52" t="s">
        <v>21</v>
      </c>
      <c r="I12" s="52" t="s">
        <v>22</v>
      </c>
      <c r="J12" s="52" t="s">
        <v>20</v>
      </c>
    </row>
    <row r="13" spans="2:10" x14ac:dyDescent="0.25">
      <c r="B13">
        <v>1</v>
      </c>
      <c r="C13" s="53">
        <v>44913</v>
      </c>
      <c r="D13" t="s">
        <v>10</v>
      </c>
      <c r="E13">
        <v>200</v>
      </c>
      <c r="G13">
        <v>1</v>
      </c>
      <c r="H13" s="53">
        <v>44914</v>
      </c>
      <c r="I13" t="s">
        <v>27</v>
      </c>
      <c r="J13">
        <v>200</v>
      </c>
    </row>
    <row r="14" spans="2:10" x14ac:dyDescent="0.25">
      <c r="B14">
        <v>2</v>
      </c>
      <c r="C14" s="53">
        <v>44913</v>
      </c>
      <c r="D14" t="s">
        <v>27</v>
      </c>
      <c r="E14">
        <v>700</v>
      </c>
      <c r="G14">
        <v>2</v>
      </c>
      <c r="H14" s="53">
        <v>44914</v>
      </c>
      <c r="I14" t="s">
        <v>27</v>
      </c>
      <c r="J14">
        <v>200</v>
      </c>
    </row>
    <row r="15" spans="2:10" x14ac:dyDescent="0.25">
      <c r="B15">
        <v>3</v>
      </c>
      <c r="C15" s="53"/>
      <c r="E15">
        <v>500</v>
      </c>
      <c r="G15">
        <v>3</v>
      </c>
      <c r="H15" s="53">
        <v>44915</v>
      </c>
      <c r="J15">
        <v>1000</v>
      </c>
    </row>
    <row r="16" spans="2:10" x14ac:dyDescent="0.25">
      <c r="C16" s="53"/>
      <c r="H16" s="53"/>
      <c r="J16">
        <v>2000</v>
      </c>
    </row>
    <row r="17" spans="3:8" x14ac:dyDescent="0.25">
      <c r="C17" s="53"/>
      <c r="H17" s="53"/>
    </row>
    <row r="18" spans="3:8" x14ac:dyDescent="0.25">
      <c r="C18" s="53"/>
      <c r="H18" s="53"/>
    </row>
    <row r="19" spans="3:8" x14ac:dyDescent="0.25">
      <c r="H19" s="53"/>
    </row>
  </sheetData>
  <mergeCells count="1">
    <mergeCell ref="G3:J3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C3:F24"/>
  <sheetViews>
    <sheetView showGridLines="0" showRowColHeaders="0" workbookViewId="0">
      <selection activeCell="D4" sqref="D4"/>
    </sheetView>
  </sheetViews>
  <sheetFormatPr defaultRowHeight="15" x14ac:dyDescent="0.25"/>
  <cols>
    <col min="4" max="4" width="13" customWidth="1"/>
  </cols>
  <sheetData>
    <row r="3" spans="3:6" ht="18.75" x14ac:dyDescent="0.3">
      <c r="C3" s="55" t="s">
        <v>23</v>
      </c>
      <c r="D3" s="55" t="s">
        <v>24</v>
      </c>
      <c r="E3" s="55" t="s">
        <v>9</v>
      </c>
      <c r="F3" s="55" t="s">
        <v>25</v>
      </c>
    </row>
    <row r="4" spans="3:6" x14ac:dyDescent="0.25">
      <c r="C4" s="56">
        <f>SUM(Table3[Amount])</f>
        <v>1400</v>
      </c>
      <c r="D4" s="56">
        <f>SUM(Table2[Amount])</f>
        <v>3400</v>
      </c>
      <c r="E4" s="57">
        <f>IF(C4&gt;D4,C4-D4,0)</f>
        <v>0</v>
      </c>
      <c r="F4" s="58">
        <f>IF(C4&lt;D4,D4-C4,0)</f>
        <v>2000</v>
      </c>
    </row>
    <row r="5" spans="3:6" x14ac:dyDescent="0.25">
      <c r="C5" s="59"/>
      <c r="D5" s="59"/>
      <c r="E5" s="59"/>
      <c r="F5" s="59"/>
    </row>
    <row r="6" spans="3:6" x14ac:dyDescent="0.25">
      <c r="C6" s="59"/>
      <c r="D6" s="59"/>
      <c r="E6" s="59"/>
      <c r="F6" s="59"/>
    </row>
    <row r="7" spans="3:6" x14ac:dyDescent="0.25">
      <c r="C7" s="59"/>
      <c r="D7" s="59"/>
      <c r="E7" s="59"/>
      <c r="F7" s="59"/>
    </row>
    <row r="8" spans="3:6" x14ac:dyDescent="0.25">
      <c r="C8" s="59"/>
      <c r="D8" s="59"/>
      <c r="E8" s="59"/>
      <c r="F8" s="59"/>
    </row>
    <row r="9" spans="3:6" x14ac:dyDescent="0.25">
      <c r="C9" s="59"/>
      <c r="D9" s="59"/>
      <c r="E9" s="59"/>
      <c r="F9" s="59"/>
    </row>
    <row r="10" spans="3:6" x14ac:dyDescent="0.25">
      <c r="C10" s="59"/>
      <c r="D10" s="59"/>
      <c r="E10" s="59"/>
      <c r="F10" s="59"/>
    </row>
    <row r="11" spans="3:6" x14ac:dyDescent="0.25">
      <c r="C11" s="59"/>
      <c r="D11" s="59"/>
      <c r="E11" s="59"/>
      <c r="F11" s="59"/>
    </row>
    <row r="12" spans="3:6" x14ac:dyDescent="0.25">
      <c r="C12" s="59"/>
      <c r="D12" s="59"/>
      <c r="E12" s="59"/>
      <c r="F12" s="59"/>
    </row>
    <row r="13" spans="3:6" x14ac:dyDescent="0.25">
      <c r="C13" s="59"/>
      <c r="D13" s="59"/>
      <c r="E13" s="59"/>
      <c r="F13" s="59"/>
    </row>
    <row r="14" spans="3:6" x14ac:dyDescent="0.25">
      <c r="C14" s="59"/>
      <c r="D14" s="59"/>
      <c r="E14" s="59"/>
      <c r="F14" s="59"/>
    </row>
    <row r="15" spans="3:6" x14ac:dyDescent="0.25">
      <c r="C15" s="59"/>
      <c r="D15" s="59"/>
      <c r="E15" s="59"/>
      <c r="F15" s="59"/>
    </row>
    <row r="16" spans="3:6" x14ac:dyDescent="0.25">
      <c r="C16" s="59"/>
      <c r="D16" s="59"/>
      <c r="E16" s="59"/>
      <c r="F16" s="59"/>
    </row>
    <row r="17" spans="3:6" x14ac:dyDescent="0.25">
      <c r="C17" s="59"/>
      <c r="D17" s="59"/>
      <c r="E17" s="59"/>
      <c r="F17" s="59"/>
    </row>
    <row r="18" spans="3:6" x14ac:dyDescent="0.25">
      <c r="C18" s="59"/>
      <c r="D18" s="59"/>
      <c r="E18" s="59"/>
      <c r="F18" s="59"/>
    </row>
    <row r="19" spans="3:6" x14ac:dyDescent="0.25">
      <c r="C19" s="59"/>
      <c r="D19" s="59"/>
      <c r="E19" s="59"/>
      <c r="F19" s="59"/>
    </row>
    <row r="20" spans="3:6" x14ac:dyDescent="0.25">
      <c r="C20" s="59"/>
      <c r="D20" s="59"/>
      <c r="E20" s="59"/>
      <c r="F20" s="59"/>
    </row>
    <row r="21" spans="3:6" x14ac:dyDescent="0.25">
      <c r="C21" s="59"/>
      <c r="D21" s="59"/>
      <c r="E21" s="59"/>
      <c r="F21" s="59"/>
    </row>
    <row r="22" spans="3:6" x14ac:dyDescent="0.25">
      <c r="C22" s="59"/>
      <c r="D22" s="59"/>
      <c r="E22" s="59"/>
      <c r="F22" s="59"/>
    </row>
    <row r="23" spans="3:6" x14ac:dyDescent="0.25">
      <c r="C23" s="59"/>
      <c r="D23" s="59"/>
      <c r="E23" s="59"/>
      <c r="F23" s="59"/>
    </row>
    <row r="24" spans="3:6" x14ac:dyDescent="0.25">
      <c r="C24" s="59"/>
      <c r="D24" s="59"/>
      <c r="E24" s="59"/>
      <c r="F24" s="5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2060"/>
  </sheetPr>
  <dimension ref="D1:J39"/>
  <sheetViews>
    <sheetView showGridLines="0" tabSelected="1" topLeftCell="A10" workbookViewId="0">
      <selection activeCell="L32" sqref="L32"/>
    </sheetView>
  </sheetViews>
  <sheetFormatPr defaultRowHeight="15" x14ac:dyDescent="0.25"/>
  <cols>
    <col min="4" max="4" width="20.5703125" customWidth="1"/>
    <col min="5" max="5" width="36.42578125" customWidth="1"/>
    <col min="7" max="7" width="10.140625" customWidth="1"/>
    <col min="8" max="8" width="17.28515625" customWidth="1"/>
  </cols>
  <sheetData>
    <row r="1" spans="4:10" ht="15.75" thickBot="1" x14ac:dyDescent="0.3"/>
    <row r="2" spans="4:10" ht="27" thickBot="1" x14ac:dyDescent="0.45">
      <c r="D2" s="84" t="s">
        <v>30</v>
      </c>
      <c r="E2" s="85"/>
      <c r="F2" s="85"/>
      <c r="G2" s="85"/>
      <c r="H2" s="86"/>
    </row>
    <row r="3" spans="4:10" ht="15.75" thickBot="1" x14ac:dyDescent="0.3">
      <c r="D3" s="65" t="s">
        <v>21</v>
      </c>
      <c r="E3" s="61" t="s">
        <v>31</v>
      </c>
      <c r="F3" s="68" t="s">
        <v>32</v>
      </c>
      <c r="G3" s="61" t="s">
        <v>33</v>
      </c>
      <c r="H3" s="73" t="s">
        <v>34</v>
      </c>
    </row>
    <row r="4" spans="4:10" ht="16.5" thickTop="1" thickBot="1" x14ac:dyDescent="0.3">
      <c r="D4" s="66">
        <v>45002</v>
      </c>
      <c r="E4" s="63" t="s">
        <v>36</v>
      </c>
      <c r="F4" s="70">
        <v>2.5</v>
      </c>
      <c r="G4" s="63"/>
      <c r="H4" s="67">
        <v>50</v>
      </c>
      <c r="J4">
        <f>SUM(H4:H37)</f>
        <v>50</v>
      </c>
    </row>
    <row r="5" spans="4:10" ht="16.5" thickTop="1" thickBot="1" x14ac:dyDescent="0.3">
      <c r="D5" s="66">
        <f>D4+1</f>
        <v>45003</v>
      </c>
      <c r="E5" s="63"/>
      <c r="F5" s="71">
        <v>2.5</v>
      </c>
      <c r="G5" s="63"/>
      <c r="H5" s="67"/>
    </row>
    <row r="6" spans="4:10" ht="16.5" thickTop="1" thickBot="1" x14ac:dyDescent="0.3">
      <c r="D6" s="66">
        <f t="shared" ref="D6:D37" si="0">D5+1</f>
        <v>45004</v>
      </c>
      <c r="E6" s="63"/>
      <c r="F6" s="71"/>
      <c r="G6" s="63"/>
      <c r="H6" s="67"/>
    </row>
    <row r="7" spans="4:10" ht="16.5" thickTop="1" thickBot="1" x14ac:dyDescent="0.3">
      <c r="D7" s="66">
        <f t="shared" si="0"/>
        <v>45005</v>
      </c>
      <c r="E7" s="63"/>
      <c r="F7" s="71"/>
      <c r="G7" s="63"/>
      <c r="H7" s="67"/>
    </row>
    <row r="8" spans="4:10" ht="16.5" thickTop="1" thickBot="1" x14ac:dyDescent="0.3">
      <c r="D8" s="66">
        <f t="shared" si="0"/>
        <v>45006</v>
      </c>
      <c r="E8" s="63"/>
      <c r="F8" s="71"/>
      <c r="G8" s="63"/>
      <c r="H8" s="67"/>
    </row>
    <row r="9" spans="4:10" ht="16.5" thickTop="1" thickBot="1" x14ac:dyDescent="0.3">
      <c r="D9" s="66">
        <f t="shared" si="0"/>
        <v>45007</v>
      </c>
      <c r="E9" s="63"/>
      <c r="F9" s="71"/>
      <c r="G9" s="63"/>
      <c r="H9" s="67"/>
    </row>
    <row r="10" spans="4:10" ht="16.5" thickTop="1" thickBot="1" x14ac:dyDescent="0.3">
      <c r="D10" s="66">
        <f t="shared" si="0"/>
        <v>45008</v>
      </c>
      <c r="E10" s="63"/>
      <c r="F10" s="71"/>
      <c r="G10" s="63"/>
      <c r="H10" s="67"/>
    </row>
    <row r="11" spans="4:10" ht="16.5" thickTop="1" thickBot="1" x14ac:dyDescent="0.3">
      <c r="D11" s="66">
        <f t="shared" si="0"/>
        <v>45009</v>
      </c>
      <c r="E11" s="63"/>
      <c r="F11" s="71"/>
      <c r="G11" s="63"/>
      <c r="H11" s="67"/>
    </row>
    <row r="12" spans="4:10" ht="16.5" thickTop="1" thickBot="1" x14ac:dyDescent="0.3">
      <c r="D12" s="66">
        <f t="shared" si="0"/>
        <v>45010</v>
      </c>
      <c r="E12" s="63"/>
      <c r="F12" s="71"/>
      <c r="G12" s="63"/>
      <c r="H12" s="67"/>
    </row>
    <row r="13" spans="4:10" ht="16.5" thickTop="1" thickBot="1" x14ac:dyDescent="0.3">
      <c r="D13" s="66">
        <f t="shared" si="0"/>
        <v>45011</v>
      </c>
      <c r="E13" s="63"/>
      <c r="F13" s="71"/>
      <c r="G13" s="63"/>
      <c r="H13" s="67"/>
    </row>
    <row r="14" spans="4:10" ht="16.5" thickTop="1" thickBot="1" x14ac:dyDescent="0.3">
      <c r="D14" s="66">
        <f t="shared" si="0"/>
        <v>45012</v>
      </c>
      <c r="E14" s="63"/>
      <c r="F14" s="71"/>
      <c r="G14" s="63"/>
      <c r="H14" s="67"/>
    </row>
    <row r="15" spans="4:10" ht="16.5" thickTop="1" thickBot="1" x14ac:dyDescent="0.3">
      <c r="D15" s="66">
        <f t="shared" si="0"/>
        <v>45013</v>
      </c>
      <c r="E15" s="63"/>
      <c r="F15" s="71"/>
      <c r="G15" s="63"/>
      <c r="H15" s="67"/>
    </row>
    <row r="16" spans="4:10" ht="16.5" thickTop="1" thickBot="1" x14ac:dyDescent="0.3">
      <c r="D16" s="66">
        <f t="shared" si="0"/>
        <v>45014</v>
      </c>
      <c r="E16" s="63"/>
      <c r="F16" s="71"/>
      <c r="G16" s="63"/>
      <c r="H16" s="67"/>
    </row>
    <row r="17" spans="4:8" ht="16.5" thickTop="1" thickBot="1" x14ac:dyDescent="0.3">
      <c r="D17" s="66">
        <f t="shared" si="0"/>
        <v>45015</v>
      </c>
      <c r="E17" s="63"/>
      <c r="F17" s="71"/>
      <c r="G17" s="63"/>
      <c r="H17" s="67"/>
    </row>
    <row r="18" spans="4:8" ht="16.5" thickTop="1" thickBot="1" x14ac:dyDescent="0.3">
      <c r="D18" s="66">
        <f t="shared" si="0"/>
        <v>45016</v>
      </c>
      <c r="E18" s="63"/>
      <c r="F18" s="71"/>
      <c r="G18" s="63"/>
      <c r="H18" s="67"/>
    </row>
    <row r="19" spans="4:8" ht="16.5" thickTop="1" thickBot="1" x14ac:dyDescent="0.3">
      <c r="D19" s="66">
        <f t="shared" si="0"/>
        <v>45017</v>
      </c>
      <c r="E19" s="63"/>
      <c r="F19" s="71"/>
      <c r="G19" s="63"/>
      <c r="H19" s="67"/>
    </row>
    <row r="20" spans="4:8" ht="16.5" thickTop="1" thickBot="1" x14ac:dyDescent="0.3">
      <c r="D20" s="66">
        <f t="shared" si="0"/>
        <v>45018</v>
      </c>
      <c r="E20" s="63"/>
      <c r="F20" s="71"/>
      <c r="G20" s="63"/>
      <c r="H20" s="67"/>
    </row>
    <row r="21" spans="4:8" ht="16.5" thickTop="1" thickBot="1" x14ac:dyDescent="0.3">
      <c r="D21" s="66">
        <f t="shared" si="0"/>
        <v>45019</v>
      </c>
      <c r="E21" s="63"/>
      <c r="F21" s="71"/>
      <c r="G21" s="63"/>
      <c r="H21" s="67"/>
    </row>
    <row r="22" spans="4:8" ht="16.5" thickTop="1" thickBot="1" x14ac:dyDescent="0.3">
      <c r="D22" s="66">
        <f t="shared" si="0"/>
        <v>45020</v>
      </c>
      <c r="E22" s="63"/>
      <c r="F22" s="71"/>
      <c r="G22" s="63"/>
      <c r="H22" s="67"/>
    </row>
    <row r="23" spans="4:8" ht="16.5" thickTop="1" thickBot="1" x14ac:dyDescent="0.3">
      <c r="D23" s="66">
        <f t="shared" si="0"/>
        <v>45021</v>
      </c>
      <c r="E23" s="63"/>
      <c r="F23" s="71"/>
      <c r="G23" s="63"/>
      <c r="H23" s="67"/>
    </row>
    <row r="24" spans="4:8" ht="16.5" thickTop="1" thickBot="1" x14ac:dyDescent="0.3">
      <c r="D24" s="66">
        <f t="shared" si="0"/>
        <v>45022</v>
      </c>
      <c r="E24" s="63"/>
      <c r="F24" s="71"/>
      <c r="G24" s="63"/>
      <c r="H24" s="67"/>
    </row>
    <row r="25" spans="4:8" ht="16.5" thickTop="1" thickBot="1" x14ac:dyDescent="0.3">
      <c r="D25" s="66">
        <f t="shared" si="0"/>
        <v>45023</v>
      </c>
      <c r="E25" s="63"/>
      <c r="F25" s="71"/>
      <c r="G25" s="63"/>
      <c r="H25" s="67"/>
    </row>
    <row r="26" spans="4:8" ht="16.5" thickTop="1" thickBot="1" x14ac:dyDescent="0.3">
      <c r="D26" s="66">
        <f t="shared" si="0"/>
        <v>45024</v>
      </c>
      <c r="E26" s="63"/>
      <c r="F26" s="71"/>
      <c r="G26" s="63"/>
      <c r="H26" s="67"/>
    </row>
    <row r="27" spans="4:8" ht="16.5" thickTop="1" thickBot="1" x14ac:dyDescent="0.3">
      <c r="D27" s="66">
        <f t="shared" si="0"/>
        <v>45025</v>
      </c>
      <c r="E27" s="63"/>
      <c r="F27" s="71"/>
      <c r="G27" s="63"/>
      <c r="H27" s="67"/>
    </row>
    <row r="28" spans="4:8" ht="16.5" thickTop="1" thickBot="1" x14ac:dyDescent="0.3">
      <c r="D28" s="66">
        <f t="shared" si="0"/>
        <v>45026</v>
      </c>
      <c r="E28" s="63"/>
      <c r="F28" s="71"/>
      <c r="G28" s="63"/>
      <c r="H28" s="67"/>
    </row>
    <row r="29" spans="4:8" ht="16.5" thickTop="1" thickBot="1" x14ac:dyDescent="0.3">
      <c r="D29" s="66">
        <f t="shared" si="0"/>
        <v>45027</v>
      </c>
      <c r="E29" s="63"/>
      <c r="F29" s="71"/>
      <c r="G29" s="63"/>
      <c r="H29" s="67"/>
    </row>
    <row r="30" spans="4:8" ht="16.5" thickTop="1" thickBot="1" x14ac:dyDescent="0.3">
      <c r="D30" s="66">
        <f t="shared" si="0"/>
        <v>45028</v>
      </c>
      <c r="E30" s="63"/>
      <c r="F30" s="71"/>
      <c r="G30" s="63"/>
      <c r="H30" s="67"/>
    </row>
    <row r="31" spans="4:8" ht="16.5" thickTop="1" thickBot="1" x14ac:dyDescent="0.3">
      <c r="D31" s="66">
        <f t="shared" si="0"/>
        <v>45029</v>
      </c>
      <c r="E31" s="63"/>
      <c r="F31" s="71"/>
      <c r="G31" s="63"/>
      <c r="H31" s="67"/>
    </row>
    <row r="32" spans="4:8" ht="16.5" thickTop="1" thickBot="1" x14ac:dyDescent="0.3">
      <c r="D32" s="66">
        <f t="shared" si="0"/>
        <v>45030</v>
      </c>
      <c r="E32" s="63"/>
      <c r="F32" s="71"/>
      <c r="G32" s="63"/>
      <c r="H32" s="67"/>
    </row>
    <row r="33" spans="4:8" ht="16.5" thickTop="1" thickBot="1" x14ac:dyDescent="0.3">
      <c r="D33" s="66">
        <f t="shared" si="0"/>
        <v>45031</v>
      </c>
      <c r="E33" s="63"/>
      <c r="F33" s="71"/>
      <c r="G33" s="63"/>
      <c r="H33" s="67"/>
    </row>
    <row r="34" spans="4:8" ht="16.5" thickTop="1" thickBot="1" x14ac:dyDescent="0.3">
      <c r="D34" s="66">
        <f t="shared" si="0"/>
        <v>45032</v>
      </c>
      <c r="E34" s="63"/>
      <c r="F34" s="71"/>
      <c r="G34" s="63"/>
      <c r="H34" s="67"/>
    </row>
    <row r="35" spans="4:8" ht="16.5" thickTop="1" thickBot="1" x14ac:dyDescent="0.3">
      <c r="D35" s="66">
        <f t="shared" si="0"/>
        <v>45033</v>
      </c>
      <c r="E35" s="63"/>
      <c r="F35" s="71"/>
      <c r="G35" s="63"/>
      <c r="H35" s="67"/>
    </row>
    <row r="36" spans="4:8" ht="16.5" thickTop="1" thickBot="1" x14ac:dyDescent="0.3">
      <c r="D36" s="66">
        <f t="shared" si="0"/>
        <v>45034</v>
      </c>
      <c r="E36" s="63"/>
      <c r="F36" s="71"/>
      <c r="G36" s="63"/>
      <c r="H36" s="67"/>
    </row>
    <row r="37" spans="4:8" ht="16.5" thickTop="1" thickBot="1" x14ac:dyDescent="0.3">
      <c r="D37" s="66">
        <f t="shared" si="0"/>
        <v>45035</v>
      </c>
      <c r="E37" s="63"/>
      <c r="F37" s="71"/>
      <c r="G37" s="63"/>
      <c r="H37" s="67"/>
    </row>
    <row r="38" spans="4:8" ht="24.75" thickTop="1" thickBot="1" x14ac:dyDescent="0.4">
      <c r="D38" s="62" t="s">
        <v>35</v>
      </c>
      <c r="E38" s="63"/>
      <c r="F38" s="69">
        <f>SUBTOTAL(109,F4:F37)</f>
        <v>5</v>
      </c>
      <c r="G38" s="64"/>
      <c r="H38" s="72">
        <f>J4*Table1[[#This Row],[ODDS]]</f>
        <v>250</v>
      </c>
    </row>
    <row r="39" spans="4:8" ht="15.75" thickTop="1" x14ac:dyDescent="0.25"/>
  </sheetData>
  <mergeCells count="1">
    <mergeCell ref="D2:H2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Database</vt:lpstr>
      <vt:lpstr>Budget</vt:lpstr>
      <vt:lpstr>Expences</vt:lpstr>
      <vt:lpstr>Data</vt:lpstr>
      <vt:lpstr>Daily 1,5 ODDs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sandile</dc:creator>
  <cp:lastModifiedBy>Mnyandu, Sandile</cp:lastModifiedBy>
  <cp:lastPrinted>2021-08-30T13:45:38Z</cp:lastPrinted>
  <dcterms:created xsi:type="dcterms:W3CDTF">2021-08-27T17:29:58Z</dcterms:created>
  <dcterms:modified xsi:type="dcterms:W3CDTF">2023-03-20T05:25:02Z</dcterms:modified>
</cp:coreProperties>
</file>